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py\"/>
    </mc:Choice>
  </mc:AlternateContent>
  <xr:revisionPtr revIDLastSave="0" documentId="13_ncr:1_{AA35A531-901C-457B-8FC8-6056797E78BE}" xr6:coauthVersionLast="47" xr6:coauthVersionMax="47" xr10:uidLastSave="{00000000-0000-0000-0000-000000000000}"/>
  <bookViews>
    <workbookView xWindow="-108" yWindow="-108" windowWidth="23256" windowHeight="12456" tabRatio="860" activeTab="7" xr2:uid="{CD659FA6-D010-4966-B0B4-9EF7C079389D}"/>
  </bookViews>
  <sheets>
    <sheet name="Monthly sales" sheetId="8" r:id="rId1"/>
    <sheet name="Top 5 Customers" sheetId="9" r:id="rId2"/>
    <sheet name="Chart1" sheetId="6" r:id="rId3"/>
    <sheet name="Profit Gained" sheetId="7" r:id="rId4"/>
    <sheet name="state map" sheetId="10" r:id="rId5"/>
    <sheet name="Sheet1" sheetId="1" r:id="rId6"/>
    <sheet name="Sheet12" sheetId="12" r:id="rId7"/>
    <sheet name="Dashboard" sheetId="13" r:id="rId8"/>
    <sheet name="Sheet11" sheetId="11" r:id="rId9"/>
  </sheets>
  <definedNames>
    <definedName name="_xlchart.v5.0" hidden="1">'state map'!$C$1</definedName>
    <definedName name="_xlchart.v5.1" hidden="1">'state map'!$C$2:$C$11</definedName>
    <definedName name="_xlchart.v5.2" hidden="1">'state map'!$D$1</definedName>
    <definedName name="_xlchart.v5.3" hidden="1">'state map'!$D$2:$D$11</definedName>
    <definedName name="Slicer_Category">#N/A</definedName>
    <definedName name="Slicer_year">#N/A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0" l="1" a="1"/>
  <c r="C3" i="10" s="1"/>
  <c r="C4" i="10" a="1"/>
  <c r="C4" i="10" s="1"/>
  <c r="C5" i="10" a="1"/>
  <c r="C5" i="10" s="1"/>
  <c r="C6" i="10" a="1"/>
  <c r="C6" i="10" s="1"/>
  <c r="C7" i="10" a="1"/>
  <c r="C7" i="10" s="1"/>
  <c r="C8" i="10" a="1"/>
  <c r="C8" i="10" s="1"/>
  <c r="C9" i="10" a="1"/>
  <c r="C9" i="10" s="1"/>
  <c r="C10" i="10" a="1"/>
  <c r="C10" i="10" s="1"/>
  <c r="C11" i="10" a="1"/>
  <c r="C11" i="10" s="1"/>
  <c r="C2" i="10" a="1"/>
  <c r="C2" i="10" s="1"/>
  <c r="C3" i="9" a="1"/>
  <c r="C3" i="9" s="1"/>
  <c r="C4" i="9" a="1"/>
  <c r="C4" i="9" s="1"/>
  <c r="C5" i="9" a="1"/>
  <c r="C5" i="9" s="1"/>
  <c r="C6" i="9" a="1"/>
  <c r="C6" i="9" s="1"/>
  <c r="C2" i="9" a="1"/>
  <c r="C2" i="9" s="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<sst xmlns="http://schemas.openxmlformats.org/spreadsheetml/2006/main" count="3118" uniqueCount="148">
  <si>
    <t>Order Date</t>
  </si>
  <si>
    <t>Customer Name</t>
  </si>
  <si>
    <t>State</t>
  </si>
  <si>
    <t>Category</t>
  </si>
  <si>
    <t>Product Name</t>
  </si>
  <si>
    <t>Sales</t>
  </si>
  <si>
    <t>Quantity</t>
  </si>
  <si>
    <t>Profit</t>
  </si>
  <si>
    <t>Jane Doe</t>
  </si>
  <si>
    <t>Illinois</t>
  </si>
  <si>
    <t>Clothing</t>
  </si>
  <si>
    <t>Sweater</t>
  </si>
  <si>
    <t>Bob Brown</t>
  </si>
  <si>
    <t>Jeans</t>
  </si>
  <si>
    <t>Jane Yellow</t>
  </si>
  <si>
    <t>Texas</t>
  </si>
  <si>
    <t>Shoes</t>
  </si>
  <si>
    <t>Hank Black</t>
  </si>
  <si>
    <t>California</t>
  </si>
  <si>
    <t>Electronics</t>
  </si>
  <si>
    <t>Smartphone</t>
  </si>
  <si>
    <t>John Smith</t>
  </si>
  <si>
    <t>New York</t>
  </si>
  <si>
    <t>Jacket</t>
  </si>
  <si>
    <t>Bob Yellow</t>
  </si>
  <si>
    <t>Washington</t>
  </si>
  <si>
    <t>John Yellow</t>
  </si>
  <si>
    <t>Grace Black</t>
  </si>
  <si>
    <t>Furniture</t>
  </si>
  <si>
    <t>Office Chair</t>
  </si>
  <si>
    <t>Frank Orange</t>
  </si>
  <si>
    <t>Florida</t>
  </si>
  <si>
    <t>Tablet</t>
  </si>
  <si>
    <t>John Johnson</t>
  </si>
  <si>
    <t>Georgia</t>
  </si>
  <si>
    <t>Desk</t>
  </si>
  <si>
    <t>Eva Green</t>
  </si>
  <si>
    <t>Arizona</t>
  </si>
  <si>
    <t>Alice Brown</t>
  </si>
  <si>
    <t>Ohio</t>
  </si>
  <si>
    <t>Camera</t>
  </si>
  <si>
    <t>Jane Smith</t>
  </si>
  <si>
    <t>Jane Green</t>
  </si>
  <si>
    <t>Hank White</t>
  </si>
  <si>
    <t>Frank Yellow</t>
  </si>
  <si>
    <t>Headphones</t>
  </si>
  <si>
    <t>Eva Smith</t>
  </si>
  <si>
    <t>Carol Orange</t>
  </si>
  <si>
    <t>Hank Brown</t>
  </si>
  <si>
    <t>T-shirt</t>
  </si>
  <si>
    <t>Bob White</t>
  </si>
  <si>
    <t>Bob Smith</t>
  </si>
  <si>
    <t>Carol Blue</t>
  </si>
  <si>
    <t>David Johnson</t>
  </si>
  <si>
    <t>David Brown</t>
  </si>
  <si>
    <t>Carol Smith</t>
  </si>
  <si>
    <t>Alice Yellow</t>
  </si>
  <si>
    <t>Alice Blue</t>
  </si>
  <si>
    <t>Bookshelf</t>
  </si>
  <si>
    <t>Carol Yellow</t>
  </si>
  <si>
    <t>David Doe</t>
  </si>
  <si>
    <t>John Green</t>
  </si>
  <si>
    <t>Hank Green</t>
  </si>
  <si>
    <t>Frank Black</t>
  </si>
  <si>
    <t>Frank Johnson</t>
  </si>
  <si>
    <t>Laptop</t>
  </si>
  <si>
    <t>Grace White</t>
  </si>
  <si>
    <t>Eva Orange</t>
  </si>
  <si>
    <t>Grace Blue</t>
  </si>
  <si>
    <t>Couch</t>
  </si>
  <si>
    <t>Alice Black</t>
  </si>
  <si>
    <t>Jane Black</t>
  </si>
  <si>
    <t>Hank Blue</t>
  </si>
  <si>
    <t>Dining Table</t>
  </si>
  <si>
    <t>David Smith</t>
  </si>
  <si>
    <t>Eva Johnson</t>
  </si>
  <si>
    <t>John White</t>
  </si>
  <si>
    <t>Nevada</t>
  </si>
  <si>
    <t>Bob Johnson</t>
  </si>
  <si>
    <t>John Orange</t>
  </si>
  <si>
    <t>Frank Doe</t>
  </si>
  <si>
    <t>David White</t>
  </si>
  <si>
    <t>John Brown</t>
  </si>
  <si>
    <t>Alice White</t>
  </si>
  <si>
    <t>Grace Brown</t>
  </si>
  <si>
    <t>Carol Black</t>
  </si>
  <si>
    <t>David Blue</t>
  </si>
  <si>
    <t>Frank Smith</t>
  </si>
  <si>
    <t>Bob Orange</t>
  </si>
  <si>
    <t>Frank Brown</t>
  </si>
  <si>
    <t>Alice Orange</t>
  </si>
  <si>
    <t>Eva Brown</t>
  </si>
  <si>
    <t>Eva Black</t>
  </si>
  <si>
    <t>Jane Brown</t>
  </si>
  <si>
    <t>Eva Blue</t>
  </si>
  <si>
    <t>Bob Black</t>
  </si>
  <si>
    <t>Eva White</t>
  </si>
  <si>
    <t>Grace Yellow</t>
  </si>
  <si>
    <t>Alice Smith</t>
  </si>
  <si>
    <t>Jane Orange</t>
  </si>
  <si>
    <t>Hank Orange</t>
  </si>
  <si>
    <t>Hank Smith</t>
  </si>
  <si>
    <t>Grace Doe</t>
  </si>
  <si>
    <t>Jane Johnson</t>
  </si>
  <si>
    <t>Frank White</t>
  </si>
  <si>
    <t>John Doe</t>
  </si>
  <si>
    <t>Eva Yellow</t>
  </si>
  <si>
    <t>David Orange</t>
  </si>
  <si>
    <t>Alice Green</t>
  </si>
  <si>
    <t>Frank Green</t>
  </si>
  <si>
    <t>David Yellow</t>
  </si>
  <si>
    <t>Grace Green</t>
  </si>
  <si>
    <t>Jane White</t>
  </si>
  <si>
    <t>David Green</t>
  </si>
  <si>
    <t>Hank Yellow</t>
  </si>
  <si>
    <t>Carol Doe</t>
  </si>
  <si>
    <t>Eva Doe</t>
  </si>
  <si>
    <t>Carol Brown</t>
  </si>
  <si>
    <t>Carol Green</t>
  </si>
  <si>
    <t>Grace Smith</t>
  </si>
  <si>
    <t>Bob Blue</t>
  </si>
  <si>
    <t>John Black</t>
  </si>
  <si>
    <t>Hank Doe</t>
  </si>
  <si>
    <t>Alice Doe</t>
  </si>
  <si>
    <t>Hank Johnson</t>
  </si>
  <si>
    <t>Frank Blue</t>
  </si>
  <si>
    <t>Carol White</t>
  </si>
  <si>
    <t>Grace Orange</t>
  </si>
  <si>
    <t>Bob Green</t>
  </si>
  <si>
    <t>Grace Johnson</t>
  </si>
  <si>
    <t>Carol Johnson</t>
  </si>
  <si>
    <t>David Black</t>
  </si>
  <si>
    <t>Jane Blue</t>
  </si>
  <si>
    <t>Alice Johnson</t>
  </si>
  <si>
    <t>Sub-Category</t>
  </si>
  <si>
    <t>Apparel</t>
  </si>
  <si>
    <t>Gadgets</t>
  </si>
  <si>
    <t>Home</t>
  </si>
  <si>
    <t xml:space="preserve"> </t>
  </si>
  <si>
    <t>Row Labels</t>
  </si>
  <si>
    <t>Grand Total</t>
  </si>
  <si>
    <t>Sum of Sales</t>
  </si>
  <si>
    <t>Column Labels</t>
  </si>
  <si>
    <t>year</t>
  </si>
  <si>
    <t>month</t>
  </si>
  <si>
    <t>Year</t>
  </si>
  <si>
    <t>Customer name</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</si>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</sst>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quot;₹&quot;\ #,##0"/>
    <numFmt numFmtId="165" formatCode="[$-F800]dddd\,\ mmmm\ dd\,\ yyyy"/>
  </numFmts>
  <fonts count="1" x14ac:knownFonts="1">
    <font>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20">
    <xf numFmtId="0" fontId="0" fillId="0" borderId="0" xfId="0"/>
    <xf numFmtId="0" fontId="0" fillId="0" borderId="0" xfId="0" applyAlignment="1">
      <alignment vertical="center" wrapText="1"/>
    </xf>
    <xf numFmtId="0" fontId="0" fillId="0" borderId="0" xfId="0" applyAlignment="1">
      <alignment vertical="center"/>
    </xf>
    <xf numFmtId="14" fontId="0" fillId="0" borderId="0" xfId="0" applyNumberFormat="1" applyAlignment="1">
      <alignment vertical="center"/>
    </xf>
    <xf numFmtId="6" fontId="0" fillId="0" borderId="0" xfId="0" applyNumberFormat="1" applyAlignment="1">
      <alignment vertical="center"/>
    </xf>
    <xf numFmtId="164" fontId="0" fillId="0" borderId="0" xfId="0" applyNumberFormat="1" applyAlignment="1">
      <alignment vertical="center"/>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applyAlignment="1">
      <alignment vertical="center"/>
    </xf>
    <xf numFmtId="1" fontId="0" fillId="0" borderId="0" xfId="0" applyNumberFormat="1" applyAlignment="1">
      <alignment vertical="center"/>
    </xf>
    <xf numFmtId="1" fontId="0" fillId="0" borderId="0" xfId="0" applyNumberFormat="1" applyAlignment="1">
      <alignment horizontal="left"/>
    </xf>
    <xf numFmtId="1" fontId="0" fillId="2" borderId="1" xfId="0" applyNumberFormat="1" applyFill="1" applyBorder="1" applyAlignment="1">
      <alignment vertical="center"/>
    </xf>
    <xf numFmtId="1" fontId="0" fillId="0" borderId="1" xfId="0" applyNumberFormat="1" applyBorder="1" applyAlignment="1">
      <alignment vertical="center"/>
    </xf>
    <xf numFmtId="0" fontId="0" fillId="2" borderId="1" xfId="0" applyFill="1" applyBorder="1" applyAlignment="1">
      <alignment vertical="center"/>
    </xf>
    <xf numFmtId="0" fontId="0" fillId="0" borderId="1" xfId="0" applyBorder="1" applyAlignment="1">
      <alignment vertical="center"/>
    </xf>
    <xf numFmtId="1" fontId="0" fillId="2" borderId="2" xfId="0" applyNumberFormat="1" applyFill="1" applyBorder="1" applyAlignment="1">
      <alignment vertical="center"/>
    </xf>
    <xf numFmtId="0" fontId="0" fillId="2" borderId="2" xfId="0" applyFill="1" applyBorder="1" applyAlignment="1">
      <alignment vertical="center"/>
    </xf>
    <xf numFmtId="1" fontId="0" fillId="0" borderId="3" xfId="0" applyNumberFormat="1" applyBorder="1" applyAlignment="1">
      <alignment vertical="center"/>
    </xf>
    <xf numFmtId="0" fontId="0" fillId="0" borderId="3" xfId="0" applyBorder="1" applyAlignment="1">
      <alignment vertical="center"/>
    </xf>
  </cellXfs>
  <cellStyles count="1">
    <cellStyle name="Normal" xfId="0" builtinId="0"/>
  </cellStyles>
  <dxfs count="18">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1" formatCode="0"/>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numFmt numFmtId="10" formatCode="&quot;₹&quot;\ #,##0;[Red]&quot;₹&quot;\ \-#,##0"/>
      <alignment horizontal="general" vertical="center" textRotation="0" wrapText="0" indent="0" justifyLastLine="0" shrinkToFit="0" readingOrder="0"/>
    </dxf>
    <dxf>
      <alignment horizontal="general" vertical="center" textRotation="0" wrapText="0" indent="0" justifyLastLine="0" shrinkToFit="0" readingOrder="0"/>
    </dxf>
    <dxf>
      <numFmt numFmtId="164" formatCode="&quot;₹&quot;\ #,##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[Prac1.xlsx]Chart1!PivotTable5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Chart1!$A$2:$A$3</c:f>
              <c:strCache>
                <c:ptCount val="1"/>
                <c:pt idx="0">
                  <c:v>Home</c:v>
                </c:pt>
              </c:strCache>
            </c:strRef>
          </c:cat>
          <c:val>
            <c:numRef>
              <c:f>Chart1!$B$2:$B$3</c:f>
              <c:numCache>
                <c:formatCode>"₹"\ #,##0</c:formatCode>
                <c:ptCount val="1"/>
                <c:pt idx="0">
                  <c:v>116818.85000000002</c:v>
                </c:pt>
              </c:numCache>
            </c:numRef>
          </c:val>
          <c:extLst>
            <c:ext xmlns:c16="http://schemas.microsoft.com/office/drawing/2014/chart" uri="{C3380CC4-5D6E-409C-BE32-E72D297353CC}">
              <c16:uniqueId val="{00000000-10B9-46BD-9933-E3CFBF462096}"/>
            </c:ext>
          </c:extLst>
        </c:ser>
        <c:dLbls>
          <c:showLegendKey val="0"/>
          <c:showVal val="0"/>
          <c:showCatName val="0"/>
          <c:showSerName val="0"/>
          <c:showPercent val="0"/>
          <c:showBubbleSize val="0"/>
        </c:dLbls>
        <c:gapWidth val="355"/>
        <c:overlap val="-70"/>
        <c:axId val="1310853936"/>
        <c:axId val="1310847216"/>
      </c:barChart>
      <c:catAx>
        <c:axId val="131085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847216"/>
        <c:crosses val="autoZero"/>
        <c:auto val="1"/>
        <c:lblAlgn val="ctr"/>
        <c:lblOffset val="100"/>
        <c:noMultiLvlLbl val="0"/>
      </c:catAx>
      <c:valAx>
        <c:axId val="131084721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85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[Prac1.xlsx]Profit Gained!PivotTable6</c:name>
    <c:fmtId val="1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'Profit Gained'!$B$1:$B$2</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Gained'!$A$3:$A$4</c:f>
              <c:strCache>
                <c:ptCount val="2"/>
                <c:pt idx="0">
                  <c:v>2025</c:v>
                </c:pt>
                <c:pt idx="1">
                  <c:v>2026</c:v>
                </c:pt>
              </c:strCache>
            </c:strRef>
          </c:cat>
          <c:val>
            <c:numRef>
              <c:f>'Profit Gained'!$B$3:$B$4</c:f>
              <c:numCache>
                <c:formatCode>"₹"\ #,##0</c:formatCode>
                <c:ptCount val="2"/>
                <c:pt idx="0">
                  <c:v>115456.22</c:v>
                </c:pt>
                <c:pt idx="1">
                  <c:v>1362.6299999999999</c:v>
                </c:pt>
              </c:numCache>
            </c:numRef>
          </c:val>
          <c:smooth val="0"/>
          <c:extLst>
            <c:ext xmlns:c16="http://schemas.microsoft.com/office/drawing/2014/chart" uri="{C3380CC4-5D6E-409C-BE32-E72D297353CC}">
              <c16:uniqueId val="{00000000-3B43-4ED1-BFA9-59331BC25C1A}"/>
            </c:ext>
          </c:extLst>
        </c:ser>
        <c:dLbls>
          <c:dLblPos val="t"/>
          <c:showLegendKey val="0"/>
          <c:showVal val="1"/>
          <c:showCatName val="0"/>
          <c:showSerName val="0"/>
          <c:showPercent val="0"/>
          <c:showBubbleSize val="0"/>
        </c:dLbls>
        <c:marker val="1"/>
        <c:smooth val="0"/>
        <c:axId val="1310864016"/>
        <c:axId val="1310863056"/>
      </c:lineChart>
      <c:catAx>
        <c:axId val="1310864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863056"/>
        <c:crosses val="autoZero"/>
        <c:auto val="1"/>
        <c:lblAlgn val="ctr"/>
        <c:lblOffset val="100"/>
        <c:noMultiLvlLbl val="0"/>
      </c:catAx>
      <c:valAx>
        <c:axId val="13108630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86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3176510246396905"/>
          <c:y val="2.3616734143049933E-2"/>
          <c:w val="0.73377728026323041"/>
          <c:h val="0.91944966899380487"/>
        </c:manualLayout>
      </c:layout>
      <c:pieChart>
        <c:varyColors val="1"/>
        <c:ser>
          <c:idx val="0"/>
          <c:order val="0"/>
          <c:dPt>
            <c:idx val="0"/>
            <c:bubble3D val="0"/>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492-4E1C-9F90-C9A81317E692}"/>
              </c:ext>
            </c:extLst>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492-4E1C-9F90-C9A81317E692}"/>
              </c:ext>
            </c:extLst>
          </c:dPt>
          <c:dPt>
            <c:idx val="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492-4E1C-9F90-C9A81317E692}"/>
              </c:ext>
            </c:extLst>
          </c:dPt>
          <c:dPt>
            <c:idx val="3"/>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492-4E1C-9F90-C9A81317E692}"/>
              </c:ext>
            </c:extLst>
          </c:dPt>
          <c:dPt>
            <c:idx val="4"/>
            <c:bubble3D val="0"/>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492-4E1C-9F90-C9A81317E6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Customers'!$C$2:$C$6</c:f>
              <c:strCache>
                <c:ptCount val="5"/>
                <c:pt idx="0">
                  <c:v>Carol Black</c:v>
                </c:pt>
                <c:pt idx="1">
                  <c:v>Frank White</c:v>
                </c:pt>
                <c:pt idx="2">
                  <c:v>Hank Orange</c:v>
                </c:pt>
                <c:pt idx="3">
                  <c:v>Grace Blue</c:v>
                </c:pt>
                <c:pt idx="4">
                  <c:v>Eva White</c:v>
                </c:pt>
              </c:strCache>
            </c:strRef>
          </c:cat>
          <c:val>
            <c:numRef>
              <c:f>'Top 5 Customers'!$D$2:$D$6</c:f>
              <c:numCache>
                <c:formatCode>General</c:formatCode>
                <c:ptCount val="5"/>
                <c:pt idx="0">
                  <c:v>4973.04</c:v>
                </c:pt>
                <c:pt idx="1">
                  <c:v>4262.04</c:v>
                </c:pt>
                <c:pt idx="2">
                  <c:v>4073.8</c:v>
                </c:pt>
                <c:pt idx="3">
                  <c:v>3738.75</c:v>
                </c:pt>
                <c:pt idx="4">
                  <c:v>3395.17</c:v>
                </c:pt>
              </c:numCache>
            </c:numRef>
          </c:val>
          <c:extLst>
            <c:ext xmlns:c16="http://schemas.microsoft.com/office/drawing/2014/chart" uri="{C3380CC4-5D6E-409C-BE32-E72D297353CC}">
              <c16:uniqueId val="{0000000A-8492-4E1C-9F90-C9A81317E69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[Prac1.xlsx]Monthly sales!PivotTable7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'Monthly sales'!$B$1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'Monthly sales'!$A$2:$A$14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sales'!$B$2:$B$14</c:f>
              <c:numCache>
                <c:formatCode>"₹"\ #,##0</c:formatCode>
                <c:ptCount val="12"/>
                <c:pt idx="0">
                  <c:v>31093.209999999995</c:v>
                </c:pt>
                <c:pt idx="1">
                  <c:v>21724.39</c:v>
                </c:pt>
                <c:pt idx="2">
                  <c:v>43229.87999999999</c:v>
                </c:pt>
                <c:pt idx="3">
                  <c:v>29129.969999999998</c:v>
                </c:pt>
                <c:pt idx="4">
                  <c:v>34921.880000000005</c:v>
                </c:pt>
                <c:pt idx="5">
                  <c:v>30762.67</c:v>
                </c:pt>
                <c:pt idx="6">
                  <c:v>27086.22</c:v>
                </c:pt>
                <c:pt idx="7">
                  <c:v>45891.699999999975</c:v>
                </c:pt>
                <c:pt idx="8">
                  <c:v>24200.050000000003</c:v>
                </c:pt>
                <c:pt idx="9">
                  <c:v>23888.139999999996</c:v>
                </c:pt>
                <c:pt idx="10">
                  <c:v>30164.54</c:v>
                </c:pt>
                <c:pt idx="11">
                  <c:v>41156.320000000014</c:v>
                </c:pt>
              </c:numCache>
            </c:numRef>
          </c:val>
          <c:extLst>
            <c:ext xmlns:c16="http://schemas.microsoft.com/office/drawing/2014/chart" uri="{C3380CC4-5D6E-409C-BE32-E72D297353CC}">
              <c16:uniqueId val="{00000000-DBB0-468B-A379-AD06D0E84FD9}"/>
            </c:ext>
          </c:extLst>
        </c:ser>
        <c:dLbls>
          <c:showLegendKey val="0"/>
          <c:showVal val="0"/>
          <c:showCatName val="0"/>
          <c:showSerName val="0"/>
          <c:showPercent val="0"/>
          <c:showBubbleSize val="0"/>
        </c:dLbls>
        <c:axId val="38810240"/>
        <c:axId val="38834240"/>
        <c:axId val="0"/>
      </c:area3DChart>
      <c:catAx>
        <c:axId val="388102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34240"/>
        <c:crosses val="autoZero"/>
        <c:auto val="1"/>
        <c:lblAlgn val="ctr"/>
        <c:lblOffset val="100"/>
        <c:noMultiLvlLbl val="0"/>
      </c:catAx>
      <c:valAx>
        <c:axId val="38834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102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[Prac1.xlsx]Sheet12!PivotTable10</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Sheet12!$B$1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Sheet12!$A$2:$A$4</c:f>
              <c:strCache>
                <c:ptCount val="2"/>
                <c:pt idx="0">
                  <c:v>2025</c:v>
                </c:pt>
                <c:pt idx="1">
                  <c:v>2026</c:v>
                </c:pt>
              </c:strCache>
            </c:strRef>
          </c:cat>
          <c:val>
            <c:numRef>
              <c:f>Sheet12!$B$2:$B$4</c:f>
              <c:numCache>
                <c:formatCode>General</c:formatCode>
                <c:ptCount val="2"/>
                <c:pt idx="0">
                  <c:v>491</c:v>
                </c:pt>
                <c:pt idx="1">
                  <c:v>9</c:v>
                </c:pt>
              </c:numCache>
            </c:numRef>
          </c:val>
          <c:extLst>
            <c:ext xmlns:c16="http://schemas.microsoft.com/office/drawing/2014/chart" uri="{C3380CC4-5D6E-409C-BE32-E72D297353CC}">
              <c16:uniqueId val="{00000000-8DD2-4744-BB9E-01448B1B9F65}"/>
            </c:ext>
          </c:extLst>
        </c:ser>
        <c:dLbls>
          <c:showLegendKey val="0"/>
          <c:showVal val="0"/>
          <c:showCatName val="0"/>
          <c:showSerName val="0"/>
          <c:showPercent val="0"/>
          <c:showBubbleSize val="0"/>
        </c:dLbls>
        <c:gapWidth val="150"/>
        <c:shape val="box"/>
        <c:axId val="1012322560"/>
        <c:axId val="1012321600"/>
        <c:axId val="0"/>
      </c:bar3DChart>
      <c:catAx>
        <c:axId val="101232256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2321600"/>
        <c:crosses val="autoZero"/>
        <c:auto val="1"/>
        <c:lblAlgn val="ctr"/>
        <c:lblOffset val="100"/>
        <c:noMultiLvlLbl val="0"/>
      </c:catAx>
      <c:valAx>
        <c:axId val="101232160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232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DBC2093C-D4CF-4F40-9B91-42DDA806C788}">
          <cx:dataId val="0"/>
          <cx:layoutPr>
            <cx:geography cultureLanguage="en-US" cultureRegion="IN" attribution="Powered by Bing">
              <cx:geoCache provider="{E9337A44-BEBE-4D9F-B70C-5C5E7DAFC167}">
                <cx:binary>1Htpb9xIsu1fMfz5Up07mYPpAS5ZVVotL7I8bX8hZFnNnUkyk+uvf4cq2S2VPXIPXuMCbQy6RsUl
I2M5EXEi65+30z9uy7ub7sVUlbX9x+3068vUueYfv/xib9O76sYeVdltZ6z53R3dmuoX8/vv2e3d
L1+6mzGrk18YoeKX2/Smc3fTy3/9E29L7syFub1xmanf9nfd/O7O9qWzz1z74aUXN1+qrN5k1nXZ
raO/vvzfLltMffPyxV3tMje/n5u7X18+uenli18OX/Xdsi9KSOb6L3iWiyOmOWMBFfr+n//yRWnq
5OGyRyk9UkpIraQi6z/6de3LmwrP/wmB7sW5+fKlu7MWG7r/fPTgE+nx/aeXL25NX7tVaQn09+vL
6zpzd19eXLkbd2dfvsisifY3RGbdwvXV/Z5/ear2f/3z4Ato4eCbR5Y5VNnPLn1nmMu74ebLX2kX
fcSlEkJysrdLcGgXdaSk5IEfBD+yy8/l+bFZvj53YJXLD39Lq0Q3Zfa76ersr7SMf8SkUEpTfa/4
NSKeRow+UtRnPhV0b7qnEfPnZPqxdR4/e2Ch6H//lhbalabL/srAYcGR1FJSwffWOTRPwI5E4HPB
gocb+FPz/AmBfmybbw8eGGZ38bc0zOXd+OKj6Yqv2vn/TzWCHWmumeCc7U0DzT8OHF8eKVyR6msq
Ul/X3qeaPyPRj03zx5MHtrn8+Le0zfGd6ZK/FNPYkRIBC4SmP8S0gB8JIbgvyD7ZkIOg+RMC/dgy
3x48MMzx3xPNTssyq01mvzruXxA05IgyQQOuHuoz/TRoAn1ERaC4DOQ+2eD6vjbcB82fkejHpvnj
yQPbnP49Ae11mpmvuvlL7CIo0oz2f1yfIc3gCkei8b+B3WO7/EyaH9tk/9SBPV6f/C1B7P3ddPMX
BgqnR0LxQAT0xxCmUVAj82jfZ98K6scG+ak4P7bIw2MHJnn/29/SJP++sSn6WWfqvzBQ/CNBKZd+
4O/1fthgMnIk0ekEROwNh3L6sV3+nEw/Ns7jZw8s9O+/R4J5vhPe62kPZk/u/G9JAH0kCUyEDP8N
rB5XZogdsqYgrh+SkHhqo4MG/T+L9WMzHTz+ZCf/R93/f2YGvpEnmxt3s71nXR6RA89fvd8uqKCD
R58jb/a6O/3y60tNOXlkx/UdTwLjKyv0wvz+IjJlX33+oyL84/m7G+t+fen56kgTrTTwUXGQPUy+
fDHe7S/5R5T6ARIZ52hqBUHZXZvOpSCHgiO9mjzQnAaB8BUuWdM/XAqQ34ClgZI+Y7j0dbdvTDkn
pv6mmoe/X9R99cZktbO/vqTs5Ytmf9sqqhRopSURnEoGxkPxdefN7c07gNF69//MtC5oOk/kpJhM
VCW/l4n3eprj0zwINvVYn1QZObMk3uq4/40WXphzu3mkvB+IoEGofCcCV4pyjj0zTdfrj0QwUqkm
CBJyYrqZXMbit1k3F3YotnW1SwrWhMS1/UY3SR2KMn7VNEl+7DNRb0f2UQwsWtJN3XjJK7J4YWaC
ndNF2Pj0sk1VHAo5hLTJN96QpCFpbsVU4aY07Os09IpPuWXb9f/OQoQim6/tYo6zyobW285Snwjj
2jRMCnXRkqGew4U404deZznfkKKPZl5/mIMi7OBTJ5MKwoonoWD8POlHP8zy5a1wtgmDMgizwHsl
ZR6E3HG7tcWF8Pq3ZVr326lOQuZp91bpj5R7W5v4N4uFBFVOQ614JJQfVa0OSZpue1NuhqmKur54
N3nx+7wdu21hq+3gmk+9ZuQ4K/s3ifXPc1p/XpI+cnkRtWosj9UCMUbnypDX9W01CXJc5MEczmS8
rUWySVRvL2o7yrAkTdQoi8WWXVbw10mVJ9FjLvDB7HtPvDXN3GVJ+sDCfvvzX+9Nhf/dk4N/fLmS
uH/89eor+/vsXWhm1qLbHt60gsu3d0GYB7BZI/rJH9+hy9eIOsCPPZn8Hy4+AZcnUPoVs9eIYwIQ
/o0o/g5bDhD5D1C6f+4BUxQwxQdmILV/A449poD9OpKUaQLgkODKAsTSA6T4FLym8BHjDyj0gCcU
UMMZ6mlNwZxp0Gf/DZ5w9KOPgnldkTLgHeXMV5qjs30azCXNu5qOhbwLaOx6vWWNaLwyIs2QLR+k
7JviRnidtLu6ne0sNo5NMp0iz8Tkc1J3ovYiw6bCP9OpnPtNob26PRl1VdpXpawabw5NMcnmsyxc
PpmNp1SZ8yjxfUHv/MnM/bsynfzyJghkE9/yirfqMlFZ2/CwopmFKKKRXfU6pcSN9SYpZVc0oRll
VV1Qf24hclJVdD5nFa/z3z07GDzzyKQ/QDwUXk90hITAhEbppVcykxF4xGPA82mV9alKg7t4NHXe
nrhKlOKkFIPt/JPFJi4boyVrwLCWJM5YvHt++QPMFwqlOPoj8EEBh6UgzNP1l5wHVhGVfclpwYss
coZLnoZaM6/Nd900Jp3bdKlLBDBSeEtTvxkFny2LqFjUyM+cSmtbhMa0vKOXWgYtrv1EyANH8ilV
PvoKsqZOLqCsp0IGLbNutsp8rkvpwSty6GMZw2EmbpbnPJbwJJv0XXFT5bKGjbqm6qg8CbzcG4qw
TWG/1ZfmFE/V2VIO52IqGlP9TFD0+Y+tCUE1Vz5TfsB8cGjqwOMnPtaNrhf+2cZMedU2B+IDgtvF
ZU0dje3cQjjPrwZcM3NbmXkTFMvsXY1NE59a3ZUA12pZyHxepW3t4rDWRMUu6iXxyneq0slSRYzr
CUpmXo6UfUYWXeKtRRaPbRs+r3mUFk/2g2qEo1jBpkAHroDwVPFTmnks7bj3RXndQNgmWfzEb3dl
IBwnYd05pT4VksTu9Pl1D6JirYKEFqhoJGE64IfrNv1sfOPx4EsyI9pVOJCmtL+lImbIj2Oe9dnr
Osbw0IVpalAX/WTbh2YkINkwiwuYFjJgQK+n207kkHlkSvkXzy/9lkdyJEreAMI8d2qWzC8vM48a
+ooX7dxfFZaQJQ3R1ZVQyvOKQEX41ACSoSuTEvWdgjb4gQGcykg+F3V8G+ullt2xaZsqnrdeXFk9
H89BN8Eqzy/5/eYxzlJCSZSWBM3GQRWY+mlc5jPpvgg1Al93M1ULLXayG3srtlkQC/Wp66H1NrTK
99UnQ+ah09shM6QZf+II9DD0idQoSe8hkiORBQfSJHrJpW6c9znNOr/yTiaXrlBUTSbFhLIfc7GI
CFXajNpw0oxDKpmRtL+qGpXPUe3Rrr7SVVp19aaVpmPvqiGr7efndbbG9R+Vs0DccyIEEZL6yJ6g
CZ86TD/GQUfaZfo8da6DE5C+IFAWmUYuvXDq+OBdNaxo16Bxo1k/sibpf6YsdOlPxGCKBugvFEGr
rzCAOfBb6Kduh3poPvnSyFxGDQkkFBLHvdZdRBffA7TH8z6Gy17gWn/v1A2NA1yaRsdVu+tH/nO3
EodYwlBtaJiTUsZXdz7QUTGhMo1T03xqOtiy3XJbBOIVoymfz7ntZ4CXjody+VCl0zz7YZ92Y5tG
gJ1RvUvaJfZOukrky4fO6626DDK1FgiTGKpSHxe9XMHUWK4B+PPgy+Fd0+XF8mEpVTEWISnLNWll
wErAqal1ii85atXlQ1BNE5CWy3zGh11I4oJNIy23O+X3K9IWU5KhwGjvl9dB4s1jGJgpxysMigdI
nnn1Whu4RlbFzWRV3TY7PXR0uBLcLO6i64q4C8uy6lgVeUlcTSeJQHL9WAd1LD4MZKBICX6QoM4Y
2tqgRHneQw+BBNr3ie+DQEAHKTk9cA0ez3VCdVN+WmhluyScGPEbG44mN+Up79sR7vr8iocxwXxE
BKPIHhRlxncr2o7YdKz4+JEv/eqMYy/WIGTWL5BC1NBK9SnO+QInHFnvbPLKRxkAP31ejLWpfhIU
HB0z8wGfkhEmUCU/jc2FD33raVV9qERdOR6ia5PenWnTFrVDWtiabrvYN9mbwQYJ6oMmlSbZJoFj
gwkD3x/LIXQsac/LOFBXE+9K9El2pGp45wKPZFErl8mcw4lIGuZExFkTiljRNTWnBH5ohhQ57jTO
C7fm6QHN92uGrNPMIS86Pg3Hz++YHiB4wAGTKxnA1p6Ag0x4uuNCxWk9tta/HvqaoIiVXcdQxA7L
6rcCqV6cpHSc4LZToTk+Endf2XqqWV2a9/nI4qt4UqtLszZbqu4kaxhfC5p2sYTu2nJobHa8yLlA
1MVjtdbUdA4qRKdPW4TR81tiB8gWIA8HAG+gGiwIcvmgsGp5XS0mr9l14FKO2HJNsgrgPN6voXsf
xxhrzpAtTtELuwhYuUJK17QoC72Uooynk1y/Mm1hi5tS5744ycZy1UM7j0Zdxu2Eu7KUr1uck0rZ
XeH5Hd81QTdwG82o7rDdn2ztoNbB1kAICEYRKkQKVB1PreWmgvplb+ZrngwrUrmuhWst5ZKZW0eC
gtXh7Ey7fPBZvVazlWcoDDKpqkzm7VIp6pKd5l4/XqNW6qCO0c85vI8PC9CkzjwNFxNj2azo1gM2
TzLWjIA1h7yIBTMXE/yFHotCFVUioArn/NRzkSz7HCGRapbjr71+Vigsbp5XwkGMBijukeN9JgO0
neS7gouOi1Czar33Q+UboMO+yGJpMA1FhM4yTeqfwcJBOlqXFBzlJUFaIgq5+6naSW5QyDST/972
FB7iZufgUKjUoR+RN8LIbTx6ZrKhKvkMhZdDXKPBAOhBS2M3le6Nr2wQ57vYiQBggIAc3nWgdJEB
Kg+B76YaierBbEk71lDlVAY1YgVRtJojKabVEF6eUXzoOdfDO2IqA0lkUSA3Fcqtferz2hb6oKrC
5tckAJCgOB/zfV2PosR6CZnm92k6qzIOXV/wJopHEueXii2im7dt2qkmCDVjOk/Drmuz9oyUPZ9k
2KA38c67pPLEq7hKfR61o5mSW5KV5GSMe6E2hV+b8ovIy6V7VxlV4QzfQsvxtRgomZZNkNdaNlGL
bs/2u3GUwXDZtWk8mVBVpKIXnHRUb+oaZFqUT67v4tBMQbvkYVoPnZiiZCoGBMOwdONchpMnc5Hv
NKO9uFKlm0USkYn2Y3/c6DGlMbqtOHGnLvXRR0X+Uo7LgrYWrticTsUc92Frm1ztBu0nfCMrb1re
j8qw7EMvyiTecOEYjWZ0SWYOVeKs3uiMjUWUyDI58Rl3m9aQcTmPdU3IMR1pynaJZ4OUbJvCVOJ6
lkNSeNfakGl6P7mJu1eedbX3DhnD77/ITqnuevGHpDZhYwxN7Vs9LWVxHGdgN3aLEUFlQl0YztLI
7xbbBp9plQf1l5Q1Zpg2cJW5vdO9G0cSFeVoaX7i4rqVwQbVqCzVcVx5hbrU1PeK4nhQDbNlepcG
NXfQ8kR50IlXCzcDXHqhnW3St1wRp8i2rkXT+Ke9jrO0vKjlVLTJNh8SNw4Xo4yTLNvFohp7+S6u
GW9PVS7SJNjBVxQH/zosBGm9tEE26jDxhGrdJo27JZ9Px8R6aXY8ZhWyTVToUQBghybr5W/G65W0
p3CO0YujkaNsoZd9g6pLh27mwaRel8z38eH2X3pZVuIaCHOB5RZjRft56VvNhrNcdU3CTujkeb4f
zbksev94qnNalaEUw5oXifQybCfhEknlZopnRXSUy1TL5PU8NmPjv8ljLx/LnV9wjzWnRT/rYHit
ci4zHbZar52x3zmZFh/8JI695VyI0kJT3twCsl8BtdtUnns87vzygmZtRss3eT7mQbwdcwBBsjUZ
5ZAdkLWKNA9eSdiWJOmctRvSFHkHIt4RT9a/sYTVWK/KS62v+yRo26hDNwbNsqDPkEEiqtL1JZAf
JUvYtnqt6UVqsfuoSWnN1S5Px1VjvHQFPoxNnXdVV/4K+WJwSeBHenQGDrDUqDeOne4q3Nfst5o6
uUB9be7jH3KJjbFamVK0OjXNVvPQRqRM/puW06rnWugcXJLXex1M4dVFkIq7tkVD0+66LEOlFY0B
nf02yoJU9h4sKPq2/+Dyus9q6MtLQcin/SLo9CrI/VXkDJZulisFz8IKHJfaz7E3rQ6mOm+1vJw9
fFfqalXNMFDcihQbtCNkGGqLZaOH/XQd5+1nEG4pvpNTY9RVIUWswbmPGjQE5ggphS4evCderMYr
/dxbNxe7+V4ZPbymix5qXC0Xuf7FrSxecZJ13tWDqr397V+VvL8P/SorXvmsqSAArb10+Fxkqsm6
46zmMzbdsgVHp8OE8SQjV6DLEqNDuTeUWQYHVwNP1nfJaU31HMuQFukwq9e66g20NLCqxC2sAdPT
RWi240GHBZnXojepJMOXpZ+Q9rPea9A0iCDg2n5PKcvQo0WNqdVIT+Y+WLk0sjft3j1UXJTQjxIZ
nthKv1w3P6k5hZ8mtFuXSUWq8OVsWuKn14uXid6dYad8Ve/ekZZ+7iElNrm+hWadxXMYm3J4l3Xp
Kvpeod4yLvjDlNwIf+sRWRf56cKkPzXHCQGvQrZj1hvEtM6Ttf+2I+ybDT5rP1OV1HAfK1GxYvPd
gGL3tV1nd3ghG9YPMSQBPsqarOFQLXKVv+5Vko7XfZmUSbarkwDvTVtOE35S2Nmn7pzvfSXLrXb+
8YPKdT50EGfKeIGXIAMYLJ43WYE8P9B2UeQalVseDJum9VydRcQmMRaXeYpztRtXNmDYStB7IA5g
prQ/9U2yhnOP/IrvirlXebArUCxO8xnXtpzMiROGVFVUalFWQxjbBOQV1bTH/alrLT5QNMrysmp7
/HeuRlA5kowUhEULLr+8HAoXgxQYuxyr0zQxwwdVxxO6gHheVt8fNaA83028ZUCYoEvLPtiWFVJs
tZ28Otb2VGqkqukjUVMOvElKY4ri5IFOzl2ZdvmuT0v0u7ezsDi0eNLkKdRxzO9jpjVBCYXZeCzi
5QNPAzO665aP6ahO3H7rk04sVMSbaSmwoyIZrdyqhVCgnOvEqj46NavXgF1eXXzP4gW2GKEB2rN1
vy7LGD46ODjubzMQchgflgvYTUwpi1qHoCxmVb3iDe1wh5rp2sMOsrfwqz3JslBZdvGur9suZqdJ
3C54x7IngGK05eCuWikKsHYxLdD6VhV6pzpyJYgJeV4Vao0nJ8YMJHxSBA5QyVU8I+fZGUiT79Dr
rcrrM75SBawPCnDxeVkneLybS+zy44jyLPbOxth2XXapeb5SZaZHunvlFzFX7q0A6TzH2ynOvTnd
qbGRpd2AuqBKhD5IIPVJJJyiJUcy1DD+4okFu1J1taaNSsaru3Wso3C+vSZzZ8CH8oxkfDgbF1nF
/tti6UfvqkMxDVZhaVqtPgFv4V/e2CzQQC7Iuoe4qT2AP9rLlaUqM9SrqKx1Zcbmk9Jz2tLPYipV
ealU28zxTjBjnff7mNF8irfIaLyUoS3BwnpRUFK/+4D5wVi49yRp8ySJYjnzdHo3+qht2i96yIaW
fbRxAGriuCv6odKRxxZbfFhEz4QJe2SHCc0+pQY1pe9L3dMeXl7lmkUDvvT8IfRHTKamzcNO9rZs
mxw0ZYRfCszrtu7hpiyHFf/0nKxogup/Dd7MVusd9T2HHOds/U5S4uGOOZnXG2MOdgIT3L5eGfas
jBuEcoJqMb5c3EybbY5AXaNSV+uVB5dFTQkk0hLDHhDR96zsCqdeEnXT3HE/pKwjwZs+9ZPRhCOp
weGKeYk1Ox3beo3yxFtWOtBiToQPgbLMnbYLgX8LAhb8ElOGVfIiw6Tx08NCstNIaS1cxbvad2w1
xtx+EeZ104u3xR6wij3R2AZ0pUS9sl1JSNupTohNlVSticO0Vb131WeywZ7diCnecJaxZC3jUjFh
DX8oV7H6+4DzTIE8EsayX4O8YeuYEecTptUn/XhhRRbK1NZVtU3zEtG42ysEU5sV9AqczcB7haVe
fp4yXvrBT4ivg4YeXA7wAR7MAG6KfjcESh1OyGG6xK5SYxSk9pNkQjSMBjDbemKNoHIA8ZKGQ9au
sv+ku0Pj+oiLXpfHb4WUJOsBfKx/0Nh2/WS80fqgqvbQmIMDhhToAxBJzy91QDQhmgjOKmEtUFb4
r1rb+kenNcagaIMYpeRXHyE4OGKitomFeO1rTE6AyCpdjdpnOSxsRCdgsgdwfF6WpxSCJAT+E1D8
FkdhHA4/P5iUxANnoG/z5EpjtqM+ZZKu9bi1+BnCdjEonX+m5+8XxLkbEAcq0Azkoj7gFYu0I7Ss
SPyunWokiqRAxj/15wIw9xDZz2+QrrTdH4Zdd7ieY5U+ZQGjGIocLDiVuUhqV6p3D4gxpstK2s+K
z1LuJmGDYZc38dK97Uc+55uqr1c85x2gwbOLQD76iURPPR0SoZUKcEiH+1riV1KHw5lZE2/0Z96+
K/dBNaKuQ4xPfRED17NgyGCCVPQzIlNzJAeUFl66CpI3vO2XaGjR2e9kxY0k4QRomSNAfYvbER8x
vcxmjn4yGvdTlWYPs89v4tCMMJwgnEhMTPAzu+Bw1oe82zo2ecNlaosVmZb7Qqixsu7fzl7QCxzE
/naG483eXo9PWf1oPUkeDiQrpQ7IWX9CNcIC0l8+pL0pSds8JAbIasLOZsl/Ra1JAsofx8awv/Wn
NuI7OOBjDCZ6yPLLfVpCkbxawy9KxEVt2zVhPL/BFV8euSkcAuMngQjEeRQBRvOAzxznZcq6RRYn
fu11hYz8qvL5J9UhYH4Wgt8vBdMFmLcHAp2+fwh1VcyquU9UcrIvRQYJdgR+xNoKH8/vij5loPF2
nNDQGAmvP1jC7zAPByg1cWmcT42+JTlo6oewYqpYS8WOV2s7OQZDXUWkEh3zQ78rMekIS5SiNnK8
nvzrfCQAwZ/ItT8i8kjh4DChAo2DO/dj6+Dw0AEhmBf5WWqPu4WR1G6ZnNZZfU8E683vdqkx7o2M
TcD56rCKF3SxoZOJo9U5qggcDUoiUzRgpC6YACdC3lSxTBJzMqNmkeYynrKCTnMUM4zCPtq2rdCe
dTkO3bXbquwX5iJiiLLVJugkKMALPlHD1Ru9nzMWCk0Sfx3XFW2nV0WSDhpHefpBZRRcTY4jJCdo
gPys2pRe3sBFHgon38NjaVjsyx10DgGSmLqH130LVNxrc0wrhpSClnUtT8aBeSi0DQvQv9Ssh7pR
+qnev+S2XItMb19zNThiAbuRJqBLFhbWVXQJa9vpOtuoxi/zPvxKxbRI5zgtuC+w7is7TPxG6Hdp
g7W48NsBjBd6nkKxbRMYLFkV6HaGM4IpSpZE5VRZ9HmYM5R5ec1Rjmt+qWanRXOaK+KtJIUdOvC/
874/1ONsebtJi74CHQxmyMf0I8xTF5g48nqTjKQKW45TTeyNbnXjj9ukxa+H2/dy1sNi3mMOsk7a
UJsSpi6NsxhuvM8asODJBn6OYfsu7VpK86iiKIZ/n9ES2+BMqmlkn6icZhdcgs6Lm7e11nnBtnlt
PYIOnaCPcxFOreJEzrY2M2y7GSe2dHNIPDAmQ4SSkcogmsUcjxeFts4uIQ61jBm6fB10mNdmKbHH
gpRu/KxIVczpJhZoBOqw8uuq+60GI+T1YbAfBT5gZItTNYm6CCrkk3xXp6ViPar7+/oPhPxav861
W5Ph3jXK+yq19ssCrWSncV6kCYeOqIoCYRPjQwxWFCwcC2/Q75FcTHDV1Nord1UmExmmSTJeyTmT
+WbOxvg4EwM/yQhfTqtuGk7AsJh3fqdYNGmZXvqZKwm47KF7H8OpT0QijQ0RfennvGvK3xKSmc2k
aYweueTuGE04qC5Wy/OgIZ9MgXCsx0ZdqDFrNr5IU1iXeN0u9yexzU3Wv17y0pEtugW3DWbCS3is
qm7Tpr9iVDTnnfCS82qwbistqHEc00hOBtPrTarH4K3fpC1OBzXZl8y28aZMmwRHXOt6I2PdngUL
q3ZzXGM6XTdS4NXBXEcir/3diFeeBugTP3eT6Y9xeir+0uqiPC4mWi7hrHO5S3NirhqBmUFYgjqy
ocdNcj1OS3BTerUExdBX78eAZVvCHDkTRKdZaDyPXwjQh7vO2frO5n78FqRmhtM8jusvFCMo9Fm0
oe8GlqfZrplrb0tt5d7ZQYAIARRs7Dz1Z9x2cxHKagyi2NdxGvyWDUzPpzgZ0d9aJnK6NX3j0H5l
VTqHA37AdRc46VcbL/a6s0rjmMRGUJe/nQZeoH+rzLm0jrZRHKTmhuS2uZjwe7xzq+jqobFcZ7vJ
MJ5NKLNfEb8YTsHKe2c4GJuyTQD0+0LHkdfhsgQ0RTvfeB/Hph3vWs+bIpbR5cba3DCcdGhwrHFZ
LDw3LZsyxHmirt80y1hMZ6pP2iQktMkuZ+oDiNHqRcPIS36GX3CUzVk3td2ONT07l2U14Ry2/CDH
+Zb0cXwpKMJnsL3bgPIkWZhM1eBv5Gz4VviuvmxS0X2cmwm1IsHYPbFhX+BsRhH5WSKb0Ou5uMHE
3ISclfWxAYERMlK5txNOh7+16eyKqHAuuW7Tuf2tm5qKhe3UT1FMuyYPc8iHSXAALhCBN6VLJKZg
fKOZTcuoXob8Jq+aJcTwqfqA3/C1YdMM9K3GcOO0YV0Q9R2Jz0RWixsbqOkixxxiwDhE9Fg0dmHc
ey065T65UIFnsrCkhb7pPDQpmwB1Yx7K3LZv1KiKHYBeqUhni3/iqEnf4LQfzpyMaXfNTN0cD/1E
j/NmUDcdj69H9O/XS1stwXHbiDnM2yq5m6GQ49T5fb9FeTpfuU7LOOxEi0lykTgcwR6GU6WL5rhF
fUzDxLf6WtdOf+ZTw9/nXWw+D8uw3PVw8M3gG/ZK4MDDMUGm2LRT665Q93qhHOvhAsfIi08LMfUx
L2mMc0uguS/TmQjksgmIRHKcGUfWLtSJj4FR1Ng6Py5k///Y+7buOHG03V/ELE4CdAvUyYeyYzuO
nRstp50GBEJCICHx6/dTycw3SXp2es2+3V9fZK3uThUn8ep9n1Ppj1A+JTh/G19F4ZjseZbMr8AL
p3s6tvoY+YE+CqG362bm087lKLkYz0V3HtNwudImXe/HmeknDevBH0lvURziydtz6gVeHmBtd1Gy
mGun8/XUrS6RwJOK8cAykdYY26H8BBxDT1ug2Q1jrf6wxUX7sQCk8zptxfKEDb854mXLb7coWKCE
zLr9QBm5AfMeJdUi6FAXmx8TrHc97rcmkPc9qIH7xkk1VVCshHu98ulVLSZtMPRv242mqbmG3LEH
aiHkU5NsVKBmC7dL8r44RuAiK6u29K6wTQLGQAfvAYuh0LrxJN06Wnnh0IPXuQHUXtz0JLH5sgvh
wx6WcqCK3ayBau6B/gznIPXj87DoN3ymAQDdRc+zQAfDTc7PjnKIE4mKuisqVfzZBMys1dCu4S0k
SOZjF1s7Hdp4SNKKtlF+nTKpiz0NxUivRFuoGvxyupUWPHxd0E3kJd8WakuRsPEsA+gQrn0w5bjX
Wbgu+maiFgRU5HS0nsZ0EneJS4MP+Ug7VWVOt3LXUqUfeNNZsQMV7dtr0fWyqwM9EugFGYuCQ27n
eXvwxahNe7i0HmFNJycH2eOuybXpr3pgBXqoohydS0WEYfYWKA6fq8REzdOab9JXMhyyG4jZWFSv
EVrE6wUAwfJMOkylGnVEq4VkaJyaEXKno12y/IrELhz505Z4FtvSuymk5ipGsQtPRQqm4jANftR1
a2diHmnQ9BzKoGagutQBa4a+ClLqHrsEap4ybtPhg/RRsB1WDMC8CvMpDm9Wyt1YxRr8wm0+oJzW
kNlutQTidsXjpasQGtFfLYF3M78bfJDRLcHtH0MnauBHor+ox1RMxN2ypLxYap/xbIgB/M8S70MB
2rUykY/FLo3M0N70LVjjUoyAn6ttcdNYJsKDkMoN749jlxK5a1ay3vYd4Nuau84dkwZO4zorwjYH
VMd1dOobrUCTGpL7Ml7BymdLvJwDQh28Hpylc5mnfQKIEFjic6QC/W4pWpNEKx8fpGRRsmtsG5u4
QgvXBrKCZgASubXM2+zBB6nM0ZiZwndDhUq64C/IMOhc9weK0FRku1YNqiTNFDm660Ue5e1OxU4S
chsFNjMfQTILduRTkb411n7etrb52LTqc0MV4SXGBPG4QnOyYwXThxCbR4gikWnQcvl2Pfh4OOuk
M3vbalqpSW2qzCH2VqUQRDzqcchqrTNfmqJLUV/tIv5YGrbtczmAXmwcbD7wpoRV5OZ1qjdsNuk9
ndvkMYewSdedBQaF9YAFU0Knt75HUvUf1DTOxW7O8+ZmlqN8NNO8NDvjGstOQLObvAyEoych+VTH
4zTs+4mRx7EPox1dWnndMxLcxr1Lr2MFMlU2M0h1irGojmNm30aTm8Pm4ngowxybcB1SO807FWXy
DF3jupyUXllJ5zV01dQ3HMad2aqSRoJBiQ6hpjnNGS5u5wG+P24M+RwMfPx04OD9ao2Xci033+sz
dnls/l3WD3XH0V/gFNgDdp1ub3KaVWZU7TPvmugzEEG3h5iIHmRIxT5XOb8PeKgrK7L2JRzFx4FD
odZgcNvnMeOvco0XWZJEytckZPrKxAlzJdOOFxWMQ+kVUzEuugmBvHfOVhjCkzuOseTKrlH3R98m
+eeeNdFLHyXrjQWjXBM1yVMCKPsZpEDcX2qaU2XCw+k2YyxB34rieFmE6R9pfxnS/Sguu7aL5y/S
FkG3G7IOBC1AbpmdRjJ2spp15xZwYJsEiJmvPKqSAXWkzIKOk9tBzfGXtm2XvowHnEPJh7wtqh7f
WwGWw5povSInkZk4rzHC20Gj1+qbK6Hk8klhamurXsEL9xkb76pLGhSrPQZLn9WL4sGxm0j88aJn
2Eeb7U3Z+UDdEeL4F2MLhe0Bk+deGgaVlmQkuQGlqK+Vh9il1A1amhs3G/WljxfXVTPgT1t2dnB/
LIvHu4KXEnOaUUBX3y3YNFuCKbS7kdvkCuB5AylX5zY085Czfk0hbWV7kbfLdeoxv5UB2pGlHtgU
kF0wXWxZ4WbJ8zIPw2uurKv6GQa9IQym8GzWPHoE61dQqJXQw5XZsrbDYUVTdYXqN647N7UtRytH
0XpCXRLIc9KuUVAZdlEIehEStdPKQn8PpQwWUZW2ouVpb/eNzUDxiL7iPZo0vbuMsbZifupi9NTJ
yLaXcTZjfxfLaJ1rTBWsR0mjmdxUpSPTDP4QhDEf07vMJKwo+2jqkrcBctZgrGxQOM72IPJ6F972
rcwkrTBtu1SVZmvFbKocGy7xdQterRhKA09I6uvReib6a18wQDrVbDCAqfvBArVKSgezCDV7bdTU
vTRNn8qmXvGqgN6BSygZdWndJLNl36BXG0+mNYH4c55mZ8muhS5LjDsygQN8ZGEMTuigIOBaxlr7
NAj5PTeqx3NIA8i4DIfCGtyEhQgcl/9VBDQPcR9nPnrYGFtHXogmcfv4HUQO1IUIWQZ6gWzjiDl1
DT/3RVIAHcOFn8F7uOXvTcpClx2g997wvk3RTLtXo9Y2aMuxAAAXYLJlfM2wRaAcL8+mBaBQ3Cxo
KN055DT0aWWa2Uz9YQPrhqeFLY9L/iUpzGhFTYbF+PE6Mbi8DRZJqD/mCmKcRLDHZCGqy3YZBLRd
chUaM3kJfVS3oMfB7NBMe6UKjnocLLLuoY66jSEyQ+uuKCqmpx2aqCI9dEsuvFdAhy0Q3q6C1MsM
a7prRpd2w06tUAJRYAejLG42tH7FjgVDxsDOWUaVKaN0ouku91uSHsBHimdVmOFjANXPUsYSprgy
NXh3dlDBiPdw7NFlwUPT6n4ns5m2tdXQz7hyiyeQoltm/DevzhXtGntPoNo9Ap/ubmTIkqqPM3PL
I+/FTiUCIjJLQVCrYHjk1K35aUILl8NHqXxaunHtx4NeQqgrXaHWEdYV27+rLWQ9SmsqWJlhHzX1
kmz+Ye6C1aFBCIYdOlBMiIwrQg46SxdRM1G4L8HGnFdl1KxT9FD0XU9qhOGNf+gQxHo5c4vRYNwC
i2lE86jdoZ3Q89G0pLfvTeAuiAs66nistr5t9vCPWRbshYkKiIbiiY4VC1Mpd6kP52M0y/x1sEMK
wDJncSMrAIodwYSa+/ksiiw0dRwSs7xAkgE5B7S1UP9V0JpMFg1SFEPvBHDr3GDyFmU6oQ+/dSAC
Xbkmfb7L+2y4CppZQmJvCCxa0PwpAUlJ7M1cFyOhoMqCpT3A/YQHk7smKBNo/o6TGiZeGQBmXzYI
KbA2GP1gglDiOje1zyLl7j0edp1SVtAdh+bjawBRFcBDrpqbAGV4/ozhcm0/5FzoS9eVxN0RHUx2
pdOcdF9QIhN/SGzKH+SasFvIN5v3Rke488W6OcjomAEysm2dK1UXrh8LR8z9qocWlwB7HVjrXEhU
01zARNET+hABPsxryuV6igBadPUKzc6nNUnhbyT9nB7HlHPIJjV5nFgj90s8hi+ZnmHyzaGPbPWw
wTkwb76EO8if4fWMuzo2s4XlaRgh3KedpfbUZBqquXncIFNt2OpwunS4SDYwDVdqzH28B3MF/jdM
YHisG5tYlN4APoyuXFQO2WPSzBdX8+jn28Qoc9PEkS3qkDQq30OgoZ5Wly9QQy8jrhIqhfxzqtui
KQUa8LspuHS8M/zuY4me2ndl1jMKmUw/dW2NDZ1DEQa45H4TQADKLVMq2/UWwr86CUW32yaHzzQE
Mj/IWYSqbaL+XOd23MVsdtW6EP+ao1rYa7eMWtXDZIuHmejF4HCETBgIOqBAIpa3ycDi66Id+hzy
JeZFqSNGr4Ogjb/4oeuvXKDme2gIeQVtWvwGb50ZwX/k1Fcdmbmu8hWe79qsns/loIuF7UzbFQPq
r04GGKhjT/ZLtpLngLXKnYFc9QnAACl8OSgRvXYUSoxSQCByllC+hLt8JR5DAY3htphYSMRORLx9
6onTa4V9E10d+vO6TfRUXO5bdrcmK2DoJJbsXAwieZmg/mhKa4bXZBbyRS9SlogOAfYIpScEXI3F
kh/0axOsYYPeygVVgM7jVhuYBGfgLp/HxgQnzfFS17rr87vFLPJqIRM8KDrvb4AL5MeAhcUzEOMu
xzJosi8q3pIdDOHzg9U+PvWzXOKK22K9dGuhgKRnBMSTz3NxnJN2zOqNBmicREfdYSSxHR7g4u1q
DXCr1ljqaTUlxOzQvkTXo5ctNItr9NIy714oW6JSzSaEsZD0O1EM7E/IncM6JenysUC7f4hSFn2R
UMa/hPgIKQOHGwcrwgu8QMWtg/jgoOyCt64wbxBOL/fKhJ6VxSLDCO/Bdk+boEdHE6XigP1Ajxgz
5qQucohm8OmbdYr1Jw6woy4cBpUJ2Qlb6dpIPgfFkD7yNklFlQLVPyk1RqDooADtk+QPb4D+w22v
gAfpL9igemFrcPNwV71gopVCPeh0lim5W3g7ocrPRXHRTOkJvmyIF5znYgLXACJU3qUeEh9/WGN4
SOI6kaFb2lNoWsG3EwTmfvnIOreSP8iYyv7IZSGWtGKpDpegLixJV43i1UNlA64Nug1Ooy4LawgC
ow1tYxH6rtJ9pkN3Mt4BxSyz2JF9mo5r8TkbxwVFZVL94AbUMdKGpEafB/1EHfisaSC0SaH9gkwa
bTzUXh4ebbw0kNenBBLVVsmv4RT4fK5BtEJAuJvV6vsWTGrX9FAxqYZdxO1YgxNokIY3Wzh9sEmx
YITpEpdp/SyLlVlegyAuMPfBytQ5fuZczkbW85oVWbQLVWLm6YvpNxv5Et+iOl+tMkVLVm6qRWU4
MvisOa2AWF+uJM2akA6HtnE2nz6ZoNliUnas6PH/oNHPM3cdLDMG5mvuZzZklQtpkdv97+m5nxly
sIZQgISgDi9+UhCwF8P/jwoJQGXFEsK98FVIdfE22e8al4SMGkT5nLepgSTNhi6AAaPjoOj+5gR+
ppsvJwChACyk9JJSCuPdL2xsRzy8UU2Xv/ffT0B8V56Ing5YcYEEL/adKf1nXsI/Ge7/f9Mcfoow
+inNARY3kMb/owX4S57DvwMQf4hy+P6hfwXERP8oCJDHvEgjzD8oQv8OiKH/yLMwBpOSZxd5UQYt
zj/THFKCYCBEz4F9y6OL/iX+n4CYNPwHkmOSi8MIKkRs9OS/CXT4eS0RdBp4qXOSwDZDkDjzq3Qh
stlkw7CRJ0zqUCn2Y0PuEr2qM+wURf3DrfkPMomLmOUHUvvbsSAtCXEvKCwqv65bO4eYbYpoPOXY
FM+b9dGZm4Q+e9yBm2na6O73x7u8B78cDx4guO7wtsZ/9RnrACEWqghxPAF0ABI5+KxL7rbovLg0
OcGKnyU7tKMRbCFd/PT7g/9cJb7dWAg1kAFR4OldjOc/V4kpCGcnIWM9bXpZ3sUggCoP6MNufLS5
B8c2+szi8O8u+T/cYoK7BeUWoh8gr8ey+bE2LfPC9Vrk4qRF5O77oV3eoV/oNvSW2t03of+vD5hF
WKQ4HFYvkq5+tSfzC0ccg2Q/tgGT13mhitq3C8W+nwSfoUbPXn9/W6O/3NcciVpZgRYXIh+KZM2f
r9DPUbg17MLYSjf1pcnYHN9tG/J70CjDDVphbIjQa43pRbgVPUyWjM8jrC5r1Wb9Nl4onfxh8XFs
gEsSAypKtfMNcFL34uPib1YB1Ji/LsKcwB2Ndz/F08TL/sv5jgLeYi4WcyQ5UOKnQMSEXc/NEEJA
L6eihvIiWq/AZvnhwkWQ6AnvoH8I0AQeIf3IsqtuhtNUAPF6a0COZmWbXeITkEYBgyooyTPod9Fe
QR4yQIWqbXQWMZBBIJRki2oTzw0Hct+BGffxVuwVcdEZnWKgdyYP5TUiV9xDtGTunnUUdPamrSRf
CnTtHn6LzdkdFIExv9YJcfcZqkRWQwTW0yMPbfCJDy2FWu4yrZ804/B0oov0QSPLGJqU6CtWqeua
Muo67m6XlNr0gxv9ejOG7QDgnmCYsDRN4/JbIdBe4D11dnb3wbq4e9pP4A8dm9Sr4bF63XSYnDJo
2KfKWateC5HY+3CeEfpBpw3lywEI2fFIkzcwQ+5B6iGKS2GZek3axT0EUxA9kcUUdbd15A1u+3g8
jZ661wwNsamyNALLPzPiHkyqcaWqT+ETGGYcEDIS9hwDDtO1KVbyNhjcx2KzuG86jZ4MxUPbiok+
r1CJv2VB5h66ZqY70G0k2XvZLUVFXdCqcoYz4eH7Wm15k5iqTbrV3Ha9m98HLoOuTAkuNvbw4x7m
FfZ5dPbovq5ozjpxgjJ6EgvaPVqY3QJFwqcWOONzoVBP6wUmKLcTPsU6sWOWvsm5UK9tg3G6mQS9
oV7TZzUAWCzTscPKgKg1qFIQc9caPTb8Nkq6e2O8WmubQXYLFGlWr85x2A4a2W9QyCOTpSlBfSUA
0TjIc+gccK0rxpayaKQ+frv/qVsIqKUiBbiWY2ougnauJiSfnL/9HUzfYyV8yFE3tvYY4Fo/tPli
67WhdA9gHwu4vbweGWxM6giCnbFrTN0IrrLzCrHR5Ar6kEApp+H+RpeG6XEoQn5ewF8qUhYCtolH
lY0hJjUmHbN7IOW+ZEmAD4xDF4WnNVpy62CTCcb2agYNGBx8CJ90PSEMgD1gNiBD2YIyUeXYwpJ8
E0Mv/QrHwfpuweDZauXz1t2vPojXTzNuf3uYx9Ee5hhWbUSJ9bIMoJMCMQP1MryjBPd5flIJa+Ea
8ZgXRuph8h0q2NbdCUaWdA+ULTkTCI4qa9cjo95dL410TxncPlWrGIZxuMjOKTjjCo1m9DKH8VQr
GD7LxbvoLsja5WFtp7kpF2bJ5wXmhBTra16RoUQ7d20hwTqmhWxECSBQgumQ27nQpnlHIx+dM0yM
V2PXZmcVjpQBjE39TTSuAg/cBYB5NtCQh1FtyzvtMALVIKWarsbiplcpgze2BuANRVqU5+w5GeGF
rKMg/Yh8j6BCPsTbGIFh5QMUhscJXg1Et+UJFh0QTSwp35P5vY3wLyXqsnvANoe1HLOx7Y5ZwLBL
b7o7+HlRryRa6LPwLaDYvCkEgWPKuofNtezZAeE+qzRSr36+zAXwX785WTTPnGQomDLunzgQ3U9c
w44NKT+Biz/EENNB/HgqFAWdQikD8LsW8inDhL91fKyhLE+bfZSIglwR6P/op21W0Wehg2A7bej4
i1OCyTtZq0jNbp8AsuuvsjhJENFmSbYD0n31bxZaz7w9wYr0lLft9P/CRMMAmz9CQtnnoMrWE0lM
YOsEeOJPlPQYj3cOVJPZwweACI6fuenUxxMYsyFFgt43bnrMg/QLCHz8fYUdS3+EUTJmX2ixdhpe
Q8XkfitkN5Rx05sUEFUf3IihM7h1gqlyg/7wxeeFPHbpWNzlbRLWHG/VAaof3Vce8M8r/L7oRdRC
iptk7YKqjyweK3yWetcNgBV2YIAbfdbF7E8+4cUZEkD6rMHoYXAdsvk9HDi9IQzO2rLPNiyayWCl
zE1Y1BDkX5aSaca2bloZnRFdglo6ZXCYlJzieyzI4kO2tPRmXvFoqgF5AUC9DMc55QW8aJ1K8R/a
fsQSdElDb7JBQcTYxD3qPfi7o28t6qAlzTwfIEgqbqBlQHQVRHxDybGZiCrJC3eP+R/vElmn4ZB7
7OMIhewOCdvSt81zFPxvJTBvDYgV+DkuS38Nh/YegWUA3QD6pzerMeEBbrvNlnoJ5vcxAStdRonG
zh9vE3nLB+yPMybPtRakG3QNP+rQ1gOUUOgYPEaUw/fTihAxNBymlqOTYEGA7SuH9Ot6GrQ+Wm/c
/WLR+wqAjLtoG0Z/Fa9xNkJB5EXqbmGqi5Mq1FS+rvGk2ruYWJx1JxSudbUbDjnqzucPKRDdGbtF
BouagGW0mXogD0VoYQFtXJpdmR5ilQrUm39kgSSvWRuhsHod8JtVaQfF5n9UI6QbwsxQF0F1DTII
r5Rpgz8Rp0ChAVmpK3HO6HK6IKfPsVuxLIpBYyef6BI9AYXD9tRoN/Z7Dbp9w5l0lzsKRAjaNuKx
rRtVEGyYGqXqkV2eKOcQS21GYMUN0AecYTXF1LDEWwhNBZnVhc8sCAufo8AD0sJ9Qmv5CHgjMI82
g7VJVd3aNm3xMPTwwWKrUtAjAHRuJt/tfd8FTQT2Hd1yc0A2D4EoDu3GECKboIMKqK/YILoahhkQ
hRm0AGCX0IPkcRte9YBpz2ArbAXfLAKjoNaqHaIorga+qVs8/ulBFqgsvW2DFxfQ7ioA6Q7hWIut
B0EexybOImg08mA/mJXgOqasHkOA6mFOQUDOrILK+kNToKQnujH7KGwigH4RkFfnppOELRW5IkP0
MEKgKUu0IboEet/BlIqOZMlE/yfsn2RfWMmOdJMCiPRkQa/Lea1QFf4c9fRnMPg76tL1hHWNxgDK
gju6qPCOCG9rG4oqm704OkMgRQZd+uhA5Ow5NtGaTy04TfhQIHNKb11sxg942tiXRzdcYecTh1Qg
whSJSEtViGzX0OHW9JBaJLhVd6FXzUcVZOZVyzg5Syu4rJImRAPppsNAB3gALeDk6AGdH9BqALB/
koyRqwQkQtcBHaccFPUIUJkVx4BvX8mU4YGkwKEQpUWgQ4M9IxzgxfKBVVWAHXguvbGXCtKGqBDY
r1ANFy6vzRQHJ0hcJnU79wMWqWhRbbpMY0VuluHZMze0873vEYxWWbTd9e/HqMvU8dNoXACIyOGP
yGP4m+Gb/XmK2iDCpNjx1FGRb02/BUhZ6kvj+/vj/GX6KRAYCaAiIhj7Iey/zKs/uImg31wMl4s6
DiO4/dLkefQ0zToAlgdF+XV2IZyvvpXD3x/3L6M/jguFIIEZA5glJsWfj4uRfEi4dOro+JC9LQGy
PsTsBrdfEYWmd1KM/iHLWtTiyV663N8f/WcPFWZ//IMoVqRlIrcr/IuvwM8c6AlkI0cEKWAAgXgq
fkKsm7zm+YxqvzQKf4ZKYyy5dN5IOEJx/3YK/4vY/cdfGPg3+BbRFBDX/x2w++VntS6Rrd8/8k+4
LgoRyZ3CWgN8FzFLMMH9D1wXRek/AORkIbnYtWiYAVz5V55z/g+AICECjbC/X/4PzgEmi295zshl
hTUB3G0CKxuMVf8NWhfHvywt4NV4bSOASnGI8/mLYUxMIGlcn63ITlCwH2C/Wxf89FoJnE+G11LZ
AmFkfMqXzRx6hAOI8BPGI4Dt/ajE/BSLdNl0ecG1492goWVfeZVbRJsVj10GEjJDLiUfu8hUanVQ
FaWIvxRg8qk/8mBdA3DDsB4KewK1L2YUuA2k26Jux8GjTba2K8BjFmpEk8bdlQyEDU+8y/ytTxnS
jJNJwTWQvWCWsIdV2vyS6YLcFcLVDRdowwV3JioJ6eOnNuu2seqwzwclFSteGUQ20R0GJQweg94A
MmQDRs8Nyoy3UMVg45GRbW8RFYhXPG6X9YLwmAv4hTI/HEZnh4OzyPqqCZXdKRPNlJ8pXSyvZh92
Bwi6wcZlyi+HRfcWQdCXEM5WpP1RMb3u+aZzdIrBiC8G18tcBWjBoiVi4+uy+uhhRW6qPciFIwtl
ni02S6j5XDU3fivnXuiak8m+wMLun9km86zSzaTcCeOJuygJCC4UKhATvyCtcUIKSzRgmMw0dIm9
3WWNmqJyjvTNiiiZi6sAJhEkIaF0dP1KTgDC8mfKvbuJl5XOh46n07JvZw2Xh8VSr5Gr5cMPU9bv
4iUYxSFZBlZlkjiIVfmCOOuZ86AiFtryEmGSWtahAR2kMiuOcPS2NYR2ptjH67ruVuxiiBOPbbP3
MAHgRjdKkSqah/VPoBTh2wav5r4nyOLb96zTO9iT/ZtASnG8p1qQA9A79RiNur1Gxs3wIuEaKllo
o7VC1PeCYKa2CetY53fw1ANxiVu2gxQWQSLghSIsmshFdtc0w7T3tnG7Ntf0zpEJum2mTWVAb10B
mXJ5KRPRIz4oQbNJWjO8hzyQJ5hK49MiYBpACDP7jLcBknREx9AvTNioKzFk2v7QLFP8xDDhnFYt
8j20aDmGw5HNj6Cv/whXEtTWF1uNoEiQ03gDupPMISeBmt1ZWjVZEd2IbEiv+pYUr7BTxgf0Yggt
J/MWRTWxMRC/WARJPbPpCUYNfZ6KcPsyLILVCMzwz6ZT4sg2GK2qIAgpL1UAIteqYL7z0o3niSBr
plwk510Z245VBELFOmqZ/Jg101KuAQXABQHMp2W6uApAgQ8Pfariat6gcYcs87BIOMl0zlJTIsog
/EDaCbnncI7RvRzTGKGI2MPY9TcBkCGLutOC0T3yhYevY9T700SR2ekufkeLWa0c2fIHD7u0RrbH
WhHIP4+XOBvoA+M3t/pPCFQg1dg31NXUxrnuazDJeI7I6Jtgfsnu1xm6YBwWeQrG6//dFb9vfX+z
KxKg5b/bFX/8+bt/76XfP/WvjRG7H5iFlGB3ixFeS/CF//yhA8Db/8DmB64qDb9FQ4Iy+xePFYPH
ghfx8iMkeLe/cT7/2hgRZZ7gC/Mi/L5tRv/NzviLl/PCXmURell0dkmI6L1LF/Bjp7kg5EpdwIDz
uCYIrl2h6MC7j0ihqs9X+yELiL/izo79Lgz75XWRqf2I2cAhH4GO06cf7t7990b6R0PwryzF5WxS
BG9fqNoQBtMLifjj2aSjVz1tjT3H0xidG/AOANNyCWGqswsSfuyamtccL3JXalGg60doADY4BBDl
KVQg+fhOlyW8w3e0EGgNQ/QRRusiOviMsK8R8o/c33DK8S8TwbczRoIc+lYkPYRoL3454w4SWwR0
LGckfDVNnSGn7KMFu5Xsl9xLgmBuF/G6y6Hl3PIMEh/fh8lBQE+CEdHK5b118xxhMlWkBuojoeoT
LXCUXJMe0T+St/e9oVfIOG7nGq07fZ7b6RqZZhi/kdue3XYa4Mrh98/hl/EDFwWqHMMrCFasDcQR
/nxROZgI2D6G+Qyujz7LpkA3nvYxloYaAX2sTtNHxaLh5feHvay1H6YroM6YYxBCQCFDvfxxOa0f
ph6ItptUzc14HguQjUhsMmcYUZGBxdrn3x/plznn25HAKoHghGCCgmf8+UgKu+o2YWM8w3aYviGy
D1gPWwofl71qd+GEMKEqCX0hKxjKVvF3i+bX+AJcZRzG+G0R0H8ZqsMvh4dhvIMQAs6jHGwTgtoN
eevxu5TDATFi8w5CNln6EI/+sA7TClNZL/OvUMIiAY769MZl0LJWycrhUuFwin6E+yFO6rbw/qvC
CF2DLxbI7YKVTB/x6yab+b4dfP+92v/0mv71QSEcAGUDtnZEVULT8fPtCzNDRkJYcBsZJt46CMDA
VQX9MqZl4pGue7W2Xf8FSC08g9uEcB2IU7oKcrr8zyXfNln5tskhJeL2a4dIlvf/w955bMetZFn0
i1AL3kwTSEuTdCIpTrCkJxHeRgTc1/cG63WXRKnF9Xrck1pVJSmRCRO4ce85+wxOm3qnP19imAvv
byeoltxELrJgYITU/z9/S7f3Mx2+knVFRdfGgR/JIF32K28w2MlBKYAwnX47VLOjYKenHgLsmsKx
b/fl+qovyq66a0lXmDZeOSZPY141RyocuWkpmD7h9/KjGGJMqN7qCFS/1BRxLurrcS00urXkSBKD
6gPlKpWIOaTVAV9QeWfmyU2Cz2valMrrriVVjHyrZ9y1tDGy2WRtsNWybPTRzy/LtQyivrVP6Voa
LW9V0qinqLF4urKj9lZHjWtJZazF1ZJPf7UCT50CV4MCspLeLhadOsKMNx+6lByKfexp1GtLWtCo
fqvisrrTXtRa2rXYCI7wmNqj0QXlt2xoXZ77tRxk0EllOKxFYr+Wi/NaOBpoCM74XqYt2qtuZ7xV
mCV7QYxnIzC+cFiL0EpYlKNtcE5jDI8RWCF54FVjjiFQMXZj0iufp0pPL8w+aO8dlNV7FeSaScVU
LV98t+m3Qp/yZTcUfrLTEId9wSIyvmLlp37GeE8tXb/V1dNaYltrsT2/1d39WoKX0qoOTLNx4b5V
6NTmVOv5W+XuxWTSeG/1vL2W9tZbld9T7ycrruN2XDcB2dt+IH/bG1hv+4SJKcslk/GljIGMdLKq
NriKMG19S+PUNJfPYtSmVQQb9CzlzV/mXOXS6tHkK9Xq17KQeOMRWXfLHgyAjPFTZ3S0crNs7nV6
ccd8tuizKK5BjLFIp2mLxH+NH4pj3oeyLMZuC8870cO+lEZ8TjtEMc2hmD06avNUBvLSFdLijhrj
xqCTqHgX7lwtzePzwKPjJmGH7oAbzipEtWO41wcbxGNIh7cTLptQiwMjQNcWswkBmhDTwk8D+O67
sfSYmYuYqmDn1Em1hP7CdCeszQJ3apWufapBzImg067BHmqSzH/V1OBleqQ3psRE7iv/2qFijU+1
5UnPycN6Et0yHwRbsx7TVZJ64KPEwOQ06EVNC7h0q/nA1LpqQ8dEyBp6kzOX+x54pBZyWc0nra1o
amNrKNigFJWunRleavTkZV0/MYkNqqPVB7LcFql07xYlLUyiSMKNi3RMhccMPmX7u4/7oa3veRlb
JxR6ZrFTLd9g28gyWba+MS0I63ImvVeVjw98q/Go9BAGDHVi2O+UURJbiYo8SCNsMd86VzXZIst3
xJKBiw9I4pECo5t2R4OK/4AijbEkJvzOirImi6NFxQXqzrFvAzibY26HFnCkBUFtvmgXdETtndHG
OGG9NPDarUGUR3NMM2NMtowtU7YE/L2NESDD5fZJgMZMDI2WDb4b7aVHdzpDdOM5Mq+NhQSQbOMP
tmY9zOVoqmu3DeYmqtFnXjmq5pWUgO7gHwSYQawd0FOj/oyjh9FvBwhy2pGLtGQXhkzkg52biAOm
mL6/b3DzAoCD17AV7kIvAaH9OhqwAE6HSBy3GdDPz+U4UlnkST7cIz8cv7Z9auHwGZMY9YRDa7X2
Yz7HKRuwr28aDTxUln37pvcwJE4Zmv2QZUMJLHPaghjMs0OPFQ1LqIf2/vw24Kj1br0587wTzIYE
/eFptpEV6N3aHEnHmi/W4B02LniDBY+IRLm7K1bJPvKNYGLbK4LYvMnJliruTL8O7ONk50gP5CTX
4pOcsBunQLmwbcaKQzfNwrRkMiu5YHD21h+/yktG1ie+FwJpBtE1v0J1EOIYmyEPCINi4NFpy6TI
bmuYqJj/FFXBv6UDhinr9NwZ9oxm12pTncs99pO6qtBFiE2mqw67m06UyHYeOnNdNHiYGB0aLCCY
fdY6WdYVwikrOEEiyvwNWNGC+wIX5ZexxsuCJyef7yw56eKCqSDClaaFj3Pv87ZgPK8TGxYk3Web
nni3oisz88RwOFAXxBigvZ57r2N2DwBp35qc1tWCOv9VlIVzMymBPaEjGKN4GukdiQO2v+oVbOK6
hmQdozD2Ab61zaAqMLIi2OVJ0+NqV41tgg3CZpmb+zG9y6B3XOCtyp3IMXsTnlvp2LyOUpNRJ+E2
ybY0ax6TRYut4GjXjdF9r1iQ55NvcEttcWxzj+QOYrod1qFhy0tm7C6MXpluGAelHHjTWoNO6d3l
L30ADkObKdNPSyB74xt4hlkQlmR4A+5vk4+aKmM19Y9Qd44tl2UMNYTH4ImHQV5Ns4cpZhDdxvfE
wa4Q5x6WcYV14KsUy74ti6a5qt3JvtQkxpNt2tXVcJHA101D3xFV+kAlwuQWAQ3EDi8Tw6ZIxUib
cBz8jrfA3N2XSWdkz0bDsG/YYCov5k+txBPMh2Fkp7uD3vukxe34lbaQNsA0FW5xzKAW3U70C5Z9
j2Qk22bL2u3LTJlbN1NRLs515bar4bQddPfKNlJIGoyVR7Ed8ceClvHRwOCM8xhU+UKUW2Oypj4a
Sozle8Q83P2FPSVeNMeYacKY9mj3hAXAeMhT2iA8DtmqpkkqcVMHdEN2ymwDqI5V6kIFV5/B9o6+
sSmKwfvEdJi25QijxwYZUPrDXRcTDsTLnTt622YWV5ONA+27zJJFc+n1bWrd4K4u3SMM7YDfNU2k
4BW9ts58BTY1FCSVkldlGfP9eziZO5H6RRqNk64f587muZ9dMDw0FVPv6q0q/f/5wgedFHIKVgzd
/z5g+J+0+v/0Uf7+N383Unz9X3wEUyF6JbZJxhubpr8bKb73LzapLs0a9iRryDH7lf+eMBhMGJhU
BBZfAIS5xVb270YK3RfHZAfDkIENvOkG/0gQ/G6zwayMGDlrjWDmJc7gjh/749414eZZ/LZRB9NU
iQzLIqBcQmUWXNoKCu0Gg3Z9Wbjgm6Mg/XAu+W5DxquQbolPuhwiYYdG0/rtftg5449dwB1Ncj8q
c8AKyBTXyMwymoFJHX64LL/Z/P32UIxTdDbPIFbeI7Z6Kx8Mo3Lk3jaQFZWmAZJYpO2WXW4X/fND
cSoDCzE3F/39FHQxUNmRQCkBRk3ZfuJRjxAFF9gJvY/ygt7Nh95OIFpunVkrNwUDqZ9PIN0lVZQO
JzDIYtpMs8lbWLmv0+BGSR0z62ksgH0xOgMaBs0Hc893PaS/D46efL2LKanfTXsl+qvYaqXEg2C7
G4iu6bbG1PnPaHscxWH4ZXrQS1BQ/UL3E4lviaGL1b6HVQz100Rnht2884Zt3lZsUP988d71kN4O
R99SN2Hkcpu8F/AysTGt1JBqn8wuNKOi/w6o8pWZdbWBFXnh4u/8oC3x62lkhGYGJoNkg+zm98P5
OC3y0bfAM+W6Q7OcVzoXK2i2f/5d68X4oUn19rtM9rQ4YHSGptb6fPzwqNkqhv7TFWpvZQOpNZp2
SbbBeTZMEFg6kro/H+13Z/HHo727NeiWwj8iemTvAxpAkYlFcEAz0uZrOiMzuE1fFF//fMh3ATPO
2y/Ea0AqBp1Lbsh3S9mcFq4/jjx2RuoiGmns8jGBp3TEpO4jH08Khix3HiOcsCtt8c2Vun/Ct39Q
Sd/sBxUMWzUxiehHr/1rmiztOLt2sDFj2d2veDSgBEloFN3ywcJk/Ob6YyvydMN1VhDi+zvOFwma
NQxce2TBdrGxtbHwNtPkDFsgWytwGJhVCzc7sjh7W7Oc7Bcdb+0NFuD2mskvWs82Cc7Uon+nuv6v
DTPnt1+N9Xl9wnGOvG+o5gHJW2yRJd2nFGlm6kS0baFh+K7cEosgPsFDh9syuiCAmnKpT8AH+0u2
3EMRVZNE2YmEhrY7VAKMhxuL/V8U1z7ZaWYyk6pr9temu2jHpRjJ5sIZG+FeI1QETtOjYvP3KCGD
hAH7yLC3NW9HBE3GdLP3ybKdTrLoib/SSkJxYycgl4UwKLv4RBEmrgt7tjaztSAFsxTeXU2em8Bb
Dl3GTHe2sT9O6G4udfz0T1rfDfu8LrQVN/1azNadxNqGjTcpDmRjyjOfXH/QS/31AcECRGHAU887
+BfnBvgCRznjetFFeq0VKqVdrB+NbHpQS9xulQJ09+fn47dHZGcBRGQNmn4fExr00wDLo5D7Po5x
NNtbBqt/BbV92Vv0SdgBPP/5eL++cNEusNrAwlu9G+8nDCIJBnI8ldznM2wac0AClmDN3vpm/1EA
06+3qe8wdTF1eqY6fZL1z39Y2xLlDPnIUGIfYKW8aLTOODaj8j44gb89CiIfyhR6BpzDn48CJ1ir
JGzyvYYPE4msF2gH+hT+zZ/P2/vRFusYvwYZFaYXJgu8/X4+DpLBxaCdIfYTmqmIFli+c6eKGY0g
V8Zm7E9JwY2vYzA59f4TW8p9YxfZR8vS2mb++YWx2s3w+6BjIa/rfQRZ1zWAtgYP0uNUeltUu+WO
po7c2aPM/NCyF/to1OCGer35Xjajd0eE77hPHH24Iv7UOtE8/DBD7LffiTGDzyAqoGZ991pJbE3D
u22JPa7o+qj3zjbQFRv4WnbXsWjxVgAE+1zS1QiBlM9ntVpMCeCEXezXDb2t8juU/eG68KdoWcYX
Ras27DLZ3s8klKBUzpyDQzzEqZ7hhunyo+LC/O0PID/Rsijpef7fTVAg7AXV7I+c1HS+S3qv3anR
Tj6lrGJh23l5FGN4CivPlbyx+upEj+yLn3kPGIGCo2rjOAQIMWxppQS3zeI1D769fF9QpJwsPw12
tB7maCxyjXeFLMlkgSHwwd35bgb0dneyYfmfX/Du7hwliI+kmcV+1vLkhK+tPkkHJwAq+0hmPYu8
AgSV5/rRauYhFC0giT9/Bev3J9Ff9X5gtH9hBvszawnDD7GCliQIGQS6Xymrbjxb1MDf9G9NOUxP
SCHTvxjDSTUkIcDGNILwCMwjETtTF00EosNbyXdjhdxWtWHKAfcTCgvQmYnxfa4Ng6XSu/esYuuQ
NRa5WvCEY6M/GIOjX2rIdQ5L03zxBv3enTkQULBVRhUI54Nz/mvpBphDR/5FheBCZn53yh3cprBg
WBC6vHyqY+hveRlpC9aFZnGsD+rE3yzbKEQddp6EuVErvttRCICrdc+is2+T+jVghslbe8jRb/5T
v+Z6J3GkdQJt2y6mzXcPM9AMBb/C4U7qkwcAVAn2sgXdLHYmiHxzQSdHdzX/RBDjR4Dr37wLXayi
K2eeFxOF989LrEyyDnyWLvbKmz8zQL2ZvG5N8XotPfmVLa8b/fmWfas93y2mCAnxaBlY36Hsv7uE
wIDElGXcsmzD6ztlUffMsRXNdTqEhPx9p3H4gNdiipK5pbixfWTAIukjnWrlz1/ltzcT0a28WYhI
Zpb880/PlBwcQH1ij+FFRnrruRubyQ9pIU0SOmn++ufD/eal6TL64DIb7L3Z5P98OBf4cFKRwLqf
537aJ6TUhgvBQx/sEX97fg06GdxJnF7bf1cB5MJIGoMh/J49MsFIwwQeqIYk4Ma+dhwZ4oUJjeqI
GK9yO8YJmsnBKBkXaRcLSJMPntdfN+VM59kVsilH7uK8f17HWTkLKHq+zADzl5Exnbp+gSc5J2FS
AeRqRVXv8b+Zm6ZQ+gcPsPG7J5hqiJNN3Y6C5929JuHjmRZOuP1s2OnX1us1B4xGIs9YvpyKyUMD
VRW6n44daF49M5jCSyfS8xaeMorTtAhHYseuhtTCTmBKqYwQpLL49uc74zdfE7002Ro8+tQ572ns
qeZns1O73d6d4n6nbDrbtuiCLbV89sEp+c2h6A3bXoCAAvXR+95Plhui7Wj17+USV6+2NXu3S51W
YORc/f/ws1ZnNKESa0vtl1WtXd1yrW93e8fM+lugsu6umb34guC0L38+gb9ZxDgSbRFKRMQM7/eN
5hIneaM4UmbpSRTLur1H4mpuebsxgZ8qe2NjM/5g+fjtqWR/TcYsKbPonn5+npNEh46bOt2eKc0Q
Vs6EjSqvzKjXoQP9+ffBt+DD3q2aVBp6EJA0Qmbs+4rbh+qmksXgFrHJ5t658wwIOkvtcSHfMa7L
ENySGbnU5LgqrWHUduwc1bRdmN9Vt5j3eLgyix7jMRZz+Wi2A1MbvHk+mOYSTCGuyS790iA+uCpI
hBG7JC0xyQrC78Cw8ZOs0HMbZtfB4IzGbkT+M184WhrsMyZHyxahCsC9pEiNB1eZzHBLe3LMHZmE
k7u1YMOZzwGcxeq7C2ufgXbLDia9mFJ4xSvMp08/ibIx5mMJgAtOcWZUpOvorXGqFpr/e6GKQVw7
Va38KxucW3zrCkaYO/63NjJnAjg8bZQdFGTnMIdLrnyvdrxIwYMkk8vpyvsBzmp86mutOeBQRJQ2
J70JITHNHgEUWMDOFGqWI5FCSRv6imiv1bI0J9sKYHd/mQ9sJ/FtB+2INFmMQRExD5onuFBM1y8q
jbEEfYeqNaO2ctbiKkPJ/sVjiDNvPAyi4eKT33XfOgw0EUqLfL4ZY2+4B6vayy2u2sC7IyzVB+uJ
rlcdKWKnXedPQbazARlB6m6TZQnxAwf7uucVtS3jtf0Hcj8ooBg6/ifQPGU4lVVjAWdMB4NcktY5
VL66pc+7U0h0noBgls+l5ut3kuS7TYzoHAtyXm6tLjirct7VndhNqVffgSDfDHbKQJoJ8960i5EU
k6LaJWo4WcM8hmYrvuQFSVuOMhHt5pO1Y8D8zba0cTswaOM79N7eFaO+DezM3dvYojZUzAvE5iC5
EHY7ffUkkyEkGjnmouHL0rnOYbBWVfY0E3xfPiK83GIo726coOq3IKGzm4LklVDpmXHhV2V6hUwE
j5+HCljgUp8Wy9k7mnGbZSjdmOrGxziwi3DKC0VRIbyw5C0RCeEttxCCjp205SZbIDFlS3GG1Mic
3e5PxTSRiKAXIKYlWXA5oE20lAUJE1aK7TTzb2LfvmN0O22N0U93y9Iv4axJFcUmxrWF0vUOxG/7
UvtCv6xTDzQE9uxo0mX/6mpdjUUKkZdPw3rvNY1z7EumXB5xdEeCFc0j4Xv+libFyUTtiNPRQE8+
P1cMiZ/x4h88x77P1PzMoL7ejjqIsl7FzxV40J4nsPKPg/Lq3aDBx0cv8lAEfnwSsUUYRNL4Wz23
Na5Dt2zsPADOxr7hLuu14aZLev8OtCTvRUtcgvT0NuWEtmDWoNp3eNF9S2YHQr/Q4VT+8GoLyGVz
NkISjYohk8uMjqqrkaNuqDR7FABNFsDMbghX3JjcPE/gGawp8jr2EbxMWSTyRI2fW879NXnCGe2R
GD9HYRx1RRi01sgGHt7iX/Bfmu3EA7GNHdOZxSWW1WQUnwGHegKcpxkTlBYtCL8+a4a103OMfBuN
KXa79zSz+Wvy0HwfrKI0VVT5KxhzbtDuXmqaK/NN4fl9sinnwdFOtGd1QZO2Q4TQc6Y2sqjLaPGr
4SGlq39jljnC+KousuOY409wUP9cG6Pp7xrsyLC2OppxaSb0r64eU0/S32233qKXFy0v2b8koezu
tpyhEeajk1mX0yTce3so4teA5r4KqQKYaLbxoEfL7E+fmDNVr33bu8RmV8J4QY7RR2zRnHNQm+2K
acOJnop5L6lYHvzZzj8Pgs+ZtRItgzS707LGnmcTUBC0jOKJLhxjkFykyyqg405IraB7Jt+2+wtW
fLErJq179jqIghDfZXm0EEjsMmbAT06DXASV1ThGeAMrGalF8HCUpuYwELeLKHFdJ8wpuI7IIgp4
5JOJU1MG/a5g31QdYNTy9yVMyscuHlchjpMZZDInY5yBCgCBGVaMBo8tkRjrPaiNp4S05nu9SstN
4zHk3xFK1WqPyDf4id6qM75IzIWv6hYDHudJjVdE1SbnzIef0OjtctVIkOh2CvOG8X62t/XMvR+k
6SwbKpHu5LZpemYq3r7QujO3NM6cc4IV0SUPpFp2i5qKHWHQdrVH75ycy7IdSFh1UufMQ9TxUHF1
acJ3p6IKCAlL0/ZrPyQ9DM7eeBAZ5zvLixlQaD3vfTJHDxoOGDh+ZnfbOn37FZpB3UP2XdoBsEOO
R5uK7+BMFR+rIdM1ers7tQbO72UQ7Vc5t/3zkHJeF8/r/mqMBHDuouArbpAexCdoyjOiOym+BaNw
zvbSaVBGmiA5T9ka9oB4o5q/oWSyfdCPJgBHsBcjhP5Lg9dyG8EbT0KNPJQOeF6Kq8lXKhYbsqCN
h9aYnTOpTvGn1k0TPN6qeXETt4gk3EqI1Sgkjc3gU0Q6yjK3Cam0p5n8gyhBNnbRV/x4jGfTJ59c
HEh+cXawWv51q2vJWQWdu2xSn9DiTY2b8mxbXXnsi1WHJAOaOBE+n/iUVpK/QM6rv0mSsZRRvrSN
2iw857SxavE0zzStfW8Q37zEdsI4nsuj0cv1LldYLJi5mM494RnDo91IRWxJw5csHb2482XffrHy
1L3XgqUjHKYe0zMZmTW+I7vun8tumW58V6hHvZ2Ku2y93GYf+5dObkCBsQcOVGhALTxv1TxpTXq2
BWcNU/J8o0PVeNWXJttrE7qhDU37+A6hk33s9LS+dK2RT2yW4o6SffoU6ExklhFB1wnqg0i3Gmkf
r15Lmy+MFQaXDf0WQcCJq4116GoNqjc7Xyo4E5ob39kpW65Nq0Q3H6thAFqfKu6kRet6ll7X5k5j
zUrPZZE3BpE5S3OjWTlN3GEuudY6Id/kQFiNX4eBkK+Nr7FnwpwM37Ma8TA3ufFoJyskZRTGd3fI
UeHy6HW3rBbLa2PmLYnPZj0XYZ876jtCkMXhmnnc+23LaXF5k4u9PhZGv3EpeR8Ws9TuAqmzmnnu
8H1q/e6WpG8a/53ZXsthBsKSx92tIf3kTBJbtpfByrFZ2UCsY6uQxF+ZVpinnrosq/XbXvMFa3xT
VM6xQSv3SkXtXbEnjnct5AEWMbhk9E2lRVB6bPkvi/DldVy1yX4gr+lguxWXhtfmpdXbBe4gL8lu
XFu0O1Tn4hPcaLRdS/oKoIT/S7RtG8VDa311ggQOYYtSrbVR4JkW8H5nsNy9wfnaMNG0o0L2PIdI
Wec7ArRXThW7htVR92iWiR2WWnMPGfZqwEnGLFLP2MsAhR8R0hK26J+gKBL/XbU9hy3csz6iRENl
ybphLYzX9Uy7mlyQ3vXsxPcunKRjMGUK321WLRujZtjYAbU6Opk8DfMMg51n80pPxv6yTrz6lKQ1
2UemRQkI6wW8TfIlwBV1LLx6uiuawfoGT/fUZbrBkoYnY7FEt61dow0naV+AyrGfqLcha+pT85Ww
beZMDUY8OsvHLm48pmUpBemQN/OTP43JnV6n446E44PblF0UjBqapKxrDmBqv9D/qz7D7wdG7DWc
JBMMCQs9O5zQm2c7Xfnc4lhoOokHsYZhpLLbnUBxd5EaCvYqJqwb2y9gG+e5uFed5rLUBcmdIpQO
eHLs3SiEWRsa0zNI4Nj+gtjSfURuWx6yzHuccr3a0y5NqQMp5QCCzoSFwDe4ynwaN41hHmNrMb5i
bx93sKH0vTSNJfIzZUXjwMMo2hQXWkGrMJln94Liwn7KbQeo6NTseJxYgBsoOpvEhegQYBR7Bchu
Pk0AXK6DKlhQLVT2A0ztHAxUYO8c1q6LKhblo+F43u08cJUceFGktFMXbnrZ4zUhju/7wqjJDNtE
Ztddzm2Q1aQ7QxqtyeVpW+g7dkX2xdRCiWWAsAkWgKjKcyno7YRAm3kqTslYH2RBwtfGsbXLZs6n
20U3n+AEVTseRUCXS74abzGwxJ66rmwn/oQYjjLDHnZAj3Tser7M7ny9XyLI+P6FmLOVzpxuU6cs
NsQ/OOeqdYjXTMfAYGhRLsd5boYr19F47VQQ+Xjg3PrUJhPJFrmVwlzAWs5z19dsSwlX4zFihjZc
QV3NnytQg3vHoAFPaw3oSbe0tDRUpkHSgvh+OdPMZlfnDdD4VZ8Xp2DM9DvHs0997k2HeJDhQIjy
VclVvhA1anJhN2ALGPCQZiXkJX3feeOK/GBAl3gOmJmyz/nSN/UqlnaWsMMrujo5Un+DdNB4Rp7a
HxvT+2os7ve4b7oXKtbypYR8y6IltE8QTrSdNahkKz1V3c5wtKMSQi5D70CuuA6k9ZRD0wFF7ADO
wmpGOxo8XXgHrwC7xqLhNmeNfJNkU89ec6Z905Cn7eeYgxUxzAv3qJO/VFVe35qdX926GX1kiP8s
oHk6ym+lMPWvNTyeb/B8YdebGh/YoQI4OX3e3M+26Y/PPRUP140M+x3SPtIGBs21jmUL6mUJyGjm
bUnvbAE2pmj680dNvDJV6oKdaVGl9ilZ2V5VgUtKKEETQcyqei0gcJGau8j4RRe58ZUwRd70jY0K
V3RT/GIWmGpDO840IjaWWHzTnFarwL8MgbddCqe+L7uJhUGk09jsvEQOzc4ORjoaakq5PVJTUeA0
NTr81FUosQNiJl4cw+HfBO0EM8bLA+Djdq1zG9UWEQLRIPiWaEuRS0U1Ki2PTczEQXPoHeIiWxzJ
vlGvByMNx3bMkh3FK5+8APRvjvZI+zFKbVKF98BjKQEkE1KMbxPksTzVbQgbfUXRWsaY1XGT8Koj
Sk/FL0M/AJdNFLzhDYLw6tVU4Pk3qrNwl422Fbz8+2Q6g5bAt2Y8mYWL0FGmedAUG+AqbrO3AicJ
SQYURUgviFOP36G+d9CP1fsyy2n3oCzI2GASjXVoDbpAZ7NzJmNHaplzMfeyuXdGFBVcQuat4Rh3
/L7Cc+iH9K1e5BcCFcOwr2aEH1fBIIfXwaU3ulEmrp8rVzMAQc+Dua8VKn2szmRme0FHrhMMygcE
p2I+TLTh47Ot+NEHc9D5jlTlfOusjrl47jzVGvM/QoVxk2Q8u/T+UzB88IrBuIC2lSwSpviWsXsh
EHmkIp7FIL5nGEDKfaB6hOEqqLIcuXaG8byE7UK9y+VcDjX9v9OI04645EZS0Tmp3eZH3e1popCS
BHlu02VwuHmm2HDzEub9FQI0WW31RAjg+1nwBJ7TgeiFbi0hS682IZejDfxk5OAEurLRT8yk+8NY
Keu2SvzpEi1T9ki4zPhpNO3h3231/9egfqRBNdH3/dA6/YVKu//e9ElG9/gHDeq//81/NKjQWJCT
8hCCJoUX/R8NqvMvFz0YjzYan1WvyB/9twaV3u/fmlNL/xeCB5ifOIEBFPnmP/HuAsP4ua/Llocg
Vj5Mp4VM99pdm8w/6DUC4tv8uPHLg+Unn8cinTag2JstQ8JnaBH3/aAd6rXv41fGMyWNsVPevBO0
huTaI6KqN4/WWM1HsXaQasxjx2DtKvWzDidh7TSR70AmJjjSqFn7UM3akdLW3hQjZf1Oe+tXrZ0r
q6Sv1vpZtou1etqqxLvL107XuGRR4cvqoh6zkU8jOgDcWrcVmmlG89oto6kFS6Y6z8KEmbB21HJa
a/3aY3MgSkaNN3qhMY/qwcyCIkzWrly69udsGnXj2rEjzOjJtSuc/Gs3z1v7enLt8OVrr09fu36G
K2i2rJ1ASvktmRqPihahWnuF89o1rGgfNvhTUEQNI847eovZ2mUs1n6jtXYeiV2gRFi7kf3alxzX
DuVo0yUpaVrKtXtpr33MbO1oUtR8Makg1zbdiTcFToaMRmW+dkIXWSdbrupmXLukFe1SSduULss5
XvuoRPpNh9aiJzd5jXEXrP1WuXZe0eXsqmC8XQxZ3RHt4l9mpd8rMgY94gpJZLjqWysZt6Y/sMrU
XfGs2DHeMqi3j5bQZEiSC2Vwmwz9fWdp8T3kVefCLmbeaVrl9IdEuh2rDjGLfVOOz3HAcolQNXic
Kqsgz6dRNG4aul5k1mLbGAv2OOgFbr2R6Dkg+BQSpYnFQVpwM70s5w2Vk1T/WBdkezrQTvdwVjG+
1G9vfIOANQJl2v6SZpEfoeI3OHmBqQz2m/QPhNnWp17Ecb5ZGr0+4aWkSu382iP2BeMb7iYgWdc6
nT1SbSwDuIaXv3gm9UU0xQmRNCb93DcrHRj6ajtVWXNvFGDJLBdwkL2+ASh385e2jXkjEELKKysr
FgMgvzZtJY3Gm9kZsmuFwQe0XGIDrc/ArCwjRCT8f0zXHeSfIOwJAuuIIX2caXN97ZVnHTVse3mY
CMlZ7Rv+TgrslBOohTSm8VkESBQe6BUh8pN8JJqJWUU68NobM+HWdFQ8FwcH2ukq9oOO6hFbBEYL
Ev4d+nEqzMZxi9CauQ6tX/KBBgLiDipNVmP/qeZoklX7OeX522fAh1cJJDteooth4JGYVD62Rp1d
43PghYhVY28oq/1OEgNEVtW057dvlqPO9UGWGnx8CSn6NllSWgRO77ghIE7/lihLWmOarF7LtVAj
nko9iNwm0MrFOwG0kh/+tlFlhis/eVPFXyxXeogzsIhEyHTnrR4I5IKjnb+83Wm5IznagtyNSJuZ
/Qqc/2Dr20FzHlsM/cQa5vQ4abA8Uq6ZT2O9zjFkZXu3vZPYx6aAD2tQ00V9z67ETJRnH9qBi6qU
XZ+0atVEmPHY7kossd+kl5L8qDfumYDd+aKDOHUX67l/N3akJ6fckcVmIVbqJTDpk41ORU4IPXY+
aPA5ojdjfiyTVLtvFlSPi0vV2yXsxppyxTivV6saq+Y+S2b8aaKIaxkaqDDDJufMzZ7tXBqdIOTN
9YlOobnOx5O4kYReOXHXL/wHM6DPPi2/0AS8FwLHuhZ1ej10843SxMPQUasPTvNSY+dKKuLiA//K
lIp9fXKTDjp52zI9VHn/6ozBRWCxI5FUxLXp3U3CYveQ7qW7PCagESNHn/xLlwY/zWNnWwhtY7Zz
E/omARuS95jamKuu2sgM947q55MwckCNA2t4YfhJ5HqtFRoe6sesmq8zwETjlANnaU5W7cU3GPWm
szGZOHyahGnN6Lvp3m2INPSDwd6CfKCpwlz5MAxlG0q4ySkhjca3OiEXpDP/i73zWK4cSZPuE6EN
IqC2V2vykkyqDYwqoXVAxdP/B9k1f1dl1WRZzWxnU9Ztlpkg7wUCEZ+7H/+qix7wYhRXx0R17bow
c2OPzfajMeSu8Owrr8lsCXfIYl8aBi9aaD63mkctBVZzVRBtpW9B4oYpMALn1gRdU3GMJEJG15Pj
0IcHCm3ZR4n6zIHNAmDmYI/vYFPJ8b5IugqAcMogQEa04iq+4NgxNmPdwUSn3IFMh/HNmdi0s2nd
p+OU74nPWbuBRXile121BqMYLOZ6RyS4agMq6aXWu7keqaSEM9XdQ8ONj3pBTQWQyBfdoK5Ny+tF
Z0zfram6q2LP/YpNZmBE4fRXl6HdykjTB4mh8W2aNGvNs04K0KqJNHYgKMlHyQMpXlEveqVYD6w+
24WJsti8AhxZKqZLfnBf52BjJ8pd9MKbLoipAyGOEClmWUgT5m+hmm4N8a44lYZzyVjzr9xWIImc
wLi11CTW5EULcEadluzSIq1WotV6SEtm9dXaZrpWubmf8jIlsli9dVlJ06vX+qvE6J/1QPVUpfO2
9zlLYATtPohmvNQRlbBTTQmtUeGtpzttYTPfhIKDstwI+1uA+3np8BhysirCZ2K47bKgw0RiVzgN
HgdiNgnep3Dt/o42I+NbOtXzHsL1Z1XTmQ60vA1MJM3AG3GyJN8St+PQ3Ir8qw3c5It5WXYAtOQS
Jm8D5FmNkYQjhk3a8nfDnIClkvrFDZLySoQam1FUs7OyZmdI1XiXqq9omtGn7HUgfHlxoHoubXZY
iwYo1yrjKWIllzHT46igsydAb/MXzpiEpx6pxDi0ZmCMi6hVzsX0624D/TLXeSTCR+mM2o1jwPVO
LQamfImlvgyaUFv3adKd8FrB1DSKIFyUtV2B61ADr8GxKy8l8ceDQOdfBwROyVTXwaOPV/OO+VKc
rFVb0+cs/UK7yNCz9+wU0q2hl/U6HknDAxop4cs24/ciN80bIw/lt6GJhx3EhvrJqalNzFgLaa3x
Odu6lNppoorJf6p9mrMLY4qsHfSSBawyzHpHMWC7rBqZoPVMVNmh4fBj0fWIlfzdbTNv0TbBcJM6
mn5ugqLZZFZJOaCJvaujyG3JnuE8ospjYN2GZsg52FMvSdOU1SopegTsoW6WykiNRRy1dJiDvFxS
Ziu2qlRniO/TtkHSWphU+RErbvtbNdehpX3Z8ubqvZsJ+Ox9nbQDemWqvVjSvxjg3b4Gl4Lmmqr6
jV854abLIPdq1twPSGp/1TWKRxxT/axh3PEGLW9oVEMy8Ltp0eo0JVnVCLZ0DFetpe4nx3LBz5vG
AoEp2eKQ3FJ43i4zA8RiX4ZfdEGBGeOV10OnXfdx0q1HfRwPcU8fGeWzwX6og1Mc1ncisO0VcJlk
Pyn6W4IE9yrShhalxpqx7h2VzGluHN1Oc+I55wMFrNqm+ZCEV8uh75NHuB1CJL1BwF3zNbphHsOw
1jnt+no4MSgYsgnUGvtfdbLZqoAcCfPUXgNr7FfUupmM+boUXOSC9zYdNbkT435qKWGdPqLUQ4lY
OFZQmjvehk+cpa/wuPoNpb/zyKcb7gN4IGtjUu0lTOxyk1Dhc2aw8Fwri1KsyrmL/RJUsJLyLkK1
XGUw725qt7Lf6YmYlolZqHejNeR5yOGzxkb/1YQTYpxt9mev762V6zGoEyOnH47u7S2DHvPEwKW+
C9mqrM2AkeukUeXl6QFk1i55G2RIpw9aG8DzIDjkWuxQsqNT/wleHcB4TDcd8wVelRVcPCnirQ6S
2tfkuLBTcVQWG23GAp+uOfQLUefNxTHSZVaKjygzW2bysX+YQgUrNTHmTX/ICOVdZ1j46aY2VN+h
aNnH04tmOTHifuLf64Rq9DmNqzS0cpnulQrgBaqZMi5Q36+EctVTBrHu3Eb5BwfQEOiCWXcMMeQ8
oymCchUX0Ued57z14eB/uj1kJ8AQUpLSj/tNY+iUZ9W+szZRHu7A/ij458adFScUmySKbnSD7uaD
Lvx6RdUgTxpdjo9ON3THurKKk8roAF3Wk8xu0qJ2YXJ4VvSOIYQ6riCJxw1haV4F9DeiOHE0LNkH
ZL736VFNFC370Dbu0Bq8J4mX+0VZefGuIkRYxvOW0Fjy3RlmoA/FQzHL+fYs7AezxN+yMAJlUPt4
lv+r2QgApTi9xLM5wJhtAs4Px4ANDh1RKRmoWODiN8Dqxxvqo3AXFLPRgKHdbDqQv3kQ2D3PloTx
3wYFazYrMCXqv0ezgcGdrQzNbGoYcTeks82hnQ0PTNVPadPlnLMwQzi53t+Gs0HCmq0S4DrY3c72
CXs2UjSzpSKZzRX8YN84+AUr14/KjZZgwch+uDF+jDL+b+rzd1MfnlxmMf998nifZRTFxe0fxj7/
/kv/NfZxqQ7C5vsDRDqXEf1n7OMb/yIG5HhzksL/LZX8H4Ybgxkfxdlw4EyRTPvPGMj515xVwkHp
Ozh6QcP9kzkQob+f5kC4oaFmEV9lMoVZ1Z8djr+bA8VOLJLMaKPDWHOUZSsCeMxmR3msahf+CQgy
gVGKlaRKa/Tp2RnKq7T3bDYwLbf8rjFyIhFemTkHpVwRrLO+VBASdX28sj3OxdZIoIJdUz9pnmrU
A5t+dIsqZ7ovcJf1Zgs8Yci9epEFOLoWXa4rJiGYY09+ApVm0dI/t1eGkgJeZOmvVeZazbqfs67A
ekosRm1QsVx6Wv0OjNP9+HEqkhT7rUOlU48CeEC2y8nDwrOiAlSYJ9+U0ar1c+c8CE65ed/dtfhJ
Nm6LBX4xZb1OCbNjxPdVkkzXMdLlpQnN/G4+4hdrdyyBsibeCEelsPWQ3sGkusvsigMxDaNA3ctp
FxLIO5hVA+Ak8ra8sRvMAGVcQr3hIGy2EZqIHMzUWI02ypaQrvmU+bz/YqvJ7g0T96IfidcQGfrG
Lid/hb/Juu3MpNn35SSo6TVvI4dyQJw77lqbeNOMlKneWq6WXaxiuLP1gdb5LMOjUY1u9IEqW20F
YWTQk0V6NPIcGdYZ67u+sVw+9igOz0gl4jJEhcXP1qnupA/r2izLS1A1+fekd3wYSoIxoE36KGzc
9s50/A874BVhQKxcAgiqEav4D9LUk8+YbdG4eQGbxKbsmsoYF9/QfdK01p1F+c/RqtzhFs8SppQ0
ek8I/b7ZpTOswFQdaayYVjaa2cLBZcUmuNKufTnm91mTQsdNIcyZEPqXkk8EBEd6bbKEtvcx7ZaQ
cNpvLK0Bu3NzvEw4x1YVptC1YfOTagjAK70PwgfluSgeINnRkJKi9Plnk4RDSlUZRwsk0mHSu8+M
P38TdiK7wuxF6GGI6N+5eOOuHuP1haKCJ2DRVuoCCEcuk6rXtiky9FZpXXGnm9zRrtPJE3wjcZwy
c1E1FhAebvtzSSz9pW84bKw1KaODSCJjhRcqqzm/9GJVp+mw7ZIAaFXdHamfag+0E517yCBIX06B
+Qb4PEChUdtZRdani5Z7ELMfdqkuYHLnKPmoaRlEWnWH01vfBO5R9Ag+7Ns5enTJbWQ1NxpzHYOS
mpWfiTuj1rN14VUfbeW6e3jtj9Oc2GH38Zq7Df3uoD6mZR6bR/oS0Uzmb2r61EL2tKVBEEh1+pPo
fE7fkx/sqqHXzoPn++ugq8JVoosXFsP2xqzycaO1tK5maWgDzmjFo8BWgl+SAsQ8IMJEkxiPlXZw
Sbwu0PZesCbU9CflzTZj8oeYeVAyPsmc1spaMo1lMAUnFvKG41O+JHLCrwm8kaGKNyDdR7pCk/YO
JlB2pX8g3JPfwcCnUmtPcnK85mOmtoVMcdFWFSSSdHTOoumRda1h30BSTlcDIKzrIOQjp2ttp9WT
fRkAnAA6WpStGHQO/JrI/FVtNGZyOwWDlcMNBojSeO9lTdmA4ygfHjN1zQToU2xHcXA7WV58w+by
rRCV2FMpiq8qNt6cqrdJvlNN+do2/MpY0apVU2XmMcyKfEN4iFtaDzNa6UWGry/KbieW3UU0st6B
A0TgdovpVXU+0YKA9ZkNtjzF0zi90nCDESGP9foeZ859oUPlCb0ivymZxmG99bOuug0h0O4turDJ
IIHxq6hugG7TqqTc08qNFSguJHHjqvDvZOJ+r0p9WIYmwt4QeRnGFQ9EE85+6cEyLvIyWIqYBEpI
5MFOONvEjkYRPFZAz5T5ZorQXlnccTiP3WOUTa0hdlNf/OhUj+juIE36kWq4N8AHJfjJKZwxnZu0
obVnAXLe26Wdl6jTKBrnOvLCvreagEckHbj19g1T8OfWiJtDpHIwPIS17XfJ3R8vDaKj0dLQAldg
UavcuxqHsgmPS28OJbwMOFX0PEs/KcJdUMv9hJH9Jsq67B4zGXXAiCTuFg4eN66vhuiFzEG77k2R
74w4jN5A1uv+At8nebZwkuIUWg3kPFdUGDTVQCy+rzyeD6vvaUwfFZtxlvbvRSp0wBiAgM+yb2kk
GM1ax0E1jc1CcaLkyIXTbZzjYN0Tzdr1W93o8QvvZObN6IBnzon5DV1E/nd9jDqctllg3WkIqU8a
hJ5Lrrt7oiDZV55bzqdd+HbMideqO9wpPWcKTNN7m6bSnNV22bJ/mFY0qnj5wg/4FIkVRt5j10/2
iXaY7FNL9ISTTmeSPXCqeLgGtXAeeY/462pUHHenyaSQyXWrgOS+EYX7BqrORxrHvmAxChkopEU/
h7/Y7dMvpN3GCX1SC5Nynxd8uenFyqow5C6Wwl2afq4Qmur0U8g6vWPPfp+1wMeWcMuDfUopBvOt
iIe1KmV9o2oLMRjwkTctTGza+Xoyff1cZdHwYg/T8BV4Uf3qCcwjhZb4ZFFCPyTEXk/aoTGS/hYr
P5KwRXvCh9AnUA2YQAjjYfPaIYdVzc7VhurVD8fCW04q6PaVIS30mjipJ7LrefJUg2MWC6+05F0i
5vprbbRqhjtVtueZQzbuTL2alpMYayo9In9tuY3+EvgyEOsi1tNxZfQaQMNMxHc0tutb9Hl3WXRd
wYjfE0wArCjxFrbRU4STmu5pGmR9MIDU0Yor9NXU0wqemdxwblapObkq1rXO/AjfpVyTF/DFgmTO
1ehauWpt2z9lWs8xxOWEtBrdpNqDxwUdBvC+eUmbH9DysIM6S56sfE4n1Ja1xH5Q43Gs1RfhCOsc
6EO1skznXYSR/82NivytpLB8Y0VzgzJLfADvsE85m5NmYEW0x0nfx0SUzr4S7mtPew4jooqBthna
1AdO1mS9uwPgchkY1qPPdAN4VG6NYlE3jC+L0ix3SN/8z1R1qbfDtjNR8x5QGDaakfFGxzfGpMKu
XkMqs662z8hqmYym/tIpNpDrUB867iW97RboRManX5t1sg5yJ9QOHPiCZ055xTfGd067sYpoPHZt
N237hF7slWrApeUYy/dJmN7q4LCe68K9hDSrlFHeY+/R1kwXgfhP0r8KSR0b4kK4Cv3cjVc2Ot0N
9hYN7F3obmuO7UDTm168A0owiQWWVfgIcdYlzpsPHAANzTKmpdHGOt6tMLy01OQwTFXB3qSfequE
LVeqsrJNp+vdydCitdM1+VeUmDTkxp3jkoOBHwFjkc4mOPDNtxAc+7sjymDTlzr+eL5NNc/ZRHeO
zDHdh2yzGAwHNifquAmxpoepSD4rZjEFCCz+U2lRxtJiDeeSLM9TRpHKQ2zr0VaPbY3zQdCdmmoE
ZmpABzmmTQ6oXWePmA/hwcM/2sLnq7udF/t0qEOlSJ9bFPBmEQVDj3QT2wyaq8p01nWg1DHVjOow
4Oo48RtmJ5OimI9AxRKpVEq83nW/CX2r2NdZaK3MVD1V0zh0S8M0Gtoca/eWMgPtC3xis/+/U3Ih
Yzn93SnZx9jwq1Py+S0uvv5wRP733/jtiOxworUcG5MWNgSPll2MFr/RuVzjX7oHLIqIHulEz8Wk
8F8nZM7VM6rFI1AIC8LUya39ZpQQ1r+ga7gkXbFb6OB23H9yQp59EL/LvwkaXaHY8u/MuAPH+Jlr
MZHRtuSkKcbPa6pc7ensJTe/+zRu//2P/R5d/udLIBPi6oDRwY9s/4DT/O4IHgxdhvDkqx0DK1Yw
j0goJkeHj/T/Tyb+B1eZf4rfXaUJfHg2EVdxi9dWey3HL+oi/3eX+CmY6MYl6MSeS3Tq6urXKV7V
6v3XlwC9Nv8rf/hGZi6HcOGncGfgOPwpZ9xmWpWEPZqfrRXNR+k6nFJjfTDX7sCl7SDNaKkklKBn
XXCwWr3bIFqOaycZje009sM2rprm0YwQtdg2tMmqke6VDXVvr5Dbh5OP4LIpOYOsLDn2HNUCvKwc
5KKFy4z3YQJcsXATF3OaQyjDK6vXnJo/pNl2TZKw33UcSG2WMs4wvuGsUkDK5wwD7CKtO7pO0LeP
TtMl+4ia96PuKedFy13cYZE9RWcdv/AxC7NpqcDPriNKLOmjZO+8SEd23LzeuhN+M/WNxS5bRcQb
MUvUH46ZuweqSkG7UJO5wgJDM5fZnkRqym9jMYnrEHTGVuvcbF1aTbIX+azydobYwKIGlTlWxtnT
03xNRmMEQDr2d5ZLV4XAgnNyVTKtITiZ04LUunEGOcbzkPhEqcsuugZJP3z4Mp+uvbK6lsD36C7d
PuF6sfoaCid4jipO8qvcz9Q3ZyC4Qkm98dU0IxEhuxXyu1YLpjlIAfLRN2fT54j+de17nX9o/oBt
YZzLycb8luNQWDqT7azyKpDsQQOLJN08tQ7swq2W/Hzp0relu+yyRLskofiSrcb+fpLdZ6LGb0KZ
Xz6b3pfRxAZIlVj8LBEh9oiHfCRNVBvbYhBfSpaND+EV1lRS64iGWcWXYAccqWFji0VOVoY9hJse
ct9uH2Pclxgra/dI7DE6VzmcWstujC0aSXRFOEj2YWERgWjw0BPb0rcloOd0YSOdL330rLXHLihZ
qswLDzYe2N0MoEGjUM6yrhPofLmX7hI76e/TUnX3soIspxq/5cbwYvuahdjE9SxID8wbSR1rZbfu
fcIiHvwITsizSyZvCImarJ0XSeAm2Semk2+wJ3FUG+uY+U3XBMYdlLLwOoWxfp8UqDPMxWP7BgNO
so1IHsPsboL3gFEi+2RTCy7m4HO8SyPX7RbCKDiQBYG4ISCHSQt825IzgDiwVa5PteYahA8UKQ+E
sNtAs4jXzsRNF2XwNAj7MchrdcVcAXAa9Ja+66LawcHfyGxBlCQbl2kcBe9yZBtNHLbEbqp12rac
Iu+7SFI40WEgl63WDscGJNJ7RCB9HXa1MOhH8vS11kqfwaI/fx6BnjorjKyfGbhTyoj6MYMSUOk7
BKGJ6KpvntheiQd9TNU6IHPACY34y9Zzi2ZrD2J49sygfy0CO7rqea3vqHTMHCalwOpjN+6tRS4M
78PAj3xAGsovnNiGtwaF9Fx0kMJGQ1kPcLYnhjYtW0Smr/ZxMHHyWH2qNiGK8C0bteJtiuzh2kw4
lMckkhfgvA7N2e50bmvfPqboJ1ujtrEjTNK5rxgnrBAfYGwNFOEu4X9wgRqTdMQIh61vg4eqWJAs
AG9WOA4sMew0mz6geI+orMwXUVZGzAX65NNWTgtmhUUo1fIWDIthr0YMhZtqgvEgSyTtVVvFLfPL
SKw7YnTHbHAUJuiyjgjX5OjJIe6JnIcmctAr3GBpuoU68NOGDybk2cOExH4kXzAtMzuAL5ZQHowm
mCf+3mPHsAGO71C6FPp7u/XLDXJNuWbqoW0bPK7U/zgW94SHxLRhlyDX+tQ0ew0pi1+j9qZNADB+
7QZz56epZ/6SIySfw1iqcWEWGMmLrKnfwa9LlrE+vSKzeduIyuKlZBV45YBKurx33R0jxv7L1Qu1
MVG5j2YB63+AFAIKmUzZG7ZJ4126RQufDgTk99bv8HS1jA19Q08PP/64WTj2PfOVZj+NYU4/ne0O
NwO0/RvOpnLdeymmJu5hxacrvZUwQs6dPy4ZKxqxGapi5e04vdKsmEn9PU1l++RiAltBEuGPisbS
1vFc+sV8IGG8HJp3ohiDl0RE5SN9iLQO+V2xxYUCP1sZ+gJWEHWisOGX+thRnFt2b55vyb2HoTzF
Fw4q2QtSfZcMacri2fQXolJ8fEVka+sGQvjZScf+bNB36S8moxx3peZTguFVtFQ3poUkrHt9fkha
UJwkaRysnqTF1A5GAj+wPjpq52N6vDfGVn+W0NqvsWj56qoc8IpdecXWHeYCQ1V1XPZHDm9USJdA
l3vmCbX2wBhpGDhQ89V7RGJOJbrAvsus6NM3SO2lWeLc541jHwOj9Leh07YrXD4cKepA87bsRhtG
XFr6OJDA2RZF7dwTB9TWtmigtEtZbMPUR/ibX3atb7QLjcjG7eC42ppYKf1KfmtxRnHGW4sB4Rve
GyanFTe4E4j0ABAKzLwu5BojQfGF8t3tzVZvH8hPqUdupPDWiYggyqTzmRxyUiToBdSgqYqt11jO
s2RDKomSmAHyCBa/JcASf2sGREsAmaqr0vT+qy8C7Vs+z1ZQuRNjRVf8b99TKsfg+0QbAPWd1rDR
RWVcSLZrD2GQsshYKd08xJLXmj3GL0XXele/7BnK6p39ZHWTeOqbOThkV9OFN5WziepIW01xrK20
SkQ7l6H/WYVac8cpl+rOBqIyR8Dx8uNTl1je4KJ73o2Z6hu9gPvl08B8tKEaMbSOSiYYCsMfN+Jm
tGnRc+uoWBd+Ivf5JK11VefGcmx0tAZwANOhA9p/E3BE3htkEqG4zveyQrq9+prw2Fd4iOdePF7c
tqAwIqPjzhCyr2m1K9IbvU7yPeMz59kPgn4rA52ONS/mZYjSxNevanVOW0weuOo4mg4+fWI67e8s
gYZxF2nxe5NO44VFYdqbVVDcuI1S8PZtAm5TW02PjPttpCA1YInppnbjGilzFB+/Wpe6yQ0yBRkD
y0wPosvtYzIQ6TTcQVsHHIsxJLS8upmSyK1blxpQRBpY0hXHVbrHPYOREO+mfu83IapaQBjwDP+r
MJaFW5QPIBiLTceCwx6ocNsjjRoSfRqHVNMRDIKlAfMGR9ShDpxhY5k06FIJU2gPra6XQHrynh2z
sNpF1rNs6GHLoyntChchRcfJyutrazYPFFtpFFAROm6nnGDMwfJj410PxXQWOJFXYhj098n3zG4x
xqW10ERLarblwQR3Yx7UOKhrQz7r4AxiWntyavYU5vTVwpr6ql7kvkMrPGEaVjosWeqqOyPPvGZl
2DQC/s8DoecQw1cQ9adOasky4I/eJhY4VfhbdbDDVSi2sW6pfeIFznYgazT/RiSjR3OJFTOiryA2
McDE+T1DDbwyXlLgEYm0rbRLOnUtezJfSUt7Ce+G+t7qrSlbgAE8hkF/21UTrXaixqWUaF9eTSkK
OZdnq8uMRcaM8sSvka4oFGblpKi62XheM6zLLDS3QRBTc8e+5IjdpiGHU+vumh1idKiUnS8lKV2z
istl2jr5h1toH62yb0YTlyXdyvm8b6v3XoQ+56r4YSiBxjeeFu5YrbZ8EP3SmCM+YZA3G8xrz1oB
ZQkUOyVAMV6tlTcwOSX0BmTKk9qeCRjISbfi9y0qyu/I0WA6pzryPFbBmfh7iBcSC7QTZ5jNSlJi
W6WS6DUE4bFLRyNDZunGHiKCKu8r4Zg4fJnkgLY3o2OUONVtgZfvmXLegjKSKX9ptar7ILru3DPP
EeMq86p0z+xYHWZH/lZkUbfDb4SWXIa1IDbZqNskdKCVhHG67nOGrMtxbKjkUI6zBkEQ4FuLoi2Z
g2TT1ylHcj2LD2FiTBh/Jfpvo/Kj4WvWTsFk9kmwlqGFbdcjUJ8SsHtne2+8jE7hnQ2/k/SfmHZ5
7akCw7eKUf02UBOlDROmc4xQWOxBZazMPGf2lfpaNHu2+BYxitvvxIjqAe+nmm6EIZNrYWMp6YDS
vDikz9PFaETmZaKy4yXNaChKRVw8BZM7W4WKznrU5zekY+TVQo+8aDcWRXeMYk+co7yVT4W07N0I
pISUeNgfYUGlH5K0LuMwgy+XHtTgtner/DNvXX3Zk/F4A9BSmjwilXswUhOkqEQ4IyJFThUtRXDW
bUUH70WKb1ZBQUoa2IT+4r6PLqU2faW96z2bZLrxVivU3TBTG7vNMNvhC1+wx1O8CqM8QiVAEV05
U8NKlmTJDsUThZncCF8vb9vDxKmC0aelFoPh4RGo1KqN8wcti59HGJEL0ApyweCGtJs/cSg2qifA
4BbDyGyIF1gh6m5lszPelr4DkC3Ny5NUmblvmoCt1DrMpyC0UPMqr0P2bAct33FccrQv/EOza6mx
90bneI94lWbpv/O2nGLmGG9MVtTS5ImXImpZ0yRvo2GV35I6rZ+rDo18W9FYh/uPFFq6xYkX2PQI
sKXBq15chWWQem/LeHxNG8fsiXMOyaE3u69w8AakE+qVRgiXR4ud7UdR6Q4GB8RMR0sv1DrQUd1a
WraVKYWaA1/VKcXvSQq2ruSFxGN4SdgMLRKRJe3a8+z63IQO2kWTmHc8/5+yADXY8U7zF51r4osN
pDr4Zdvd0gnBuSPMoscRYZ0Xl2usDaAM17ayyndLq14FFr1XMo73qjNbsXEdTOM0qhpbJvas7JVm
ISPOopbvDnIZRXWDeYDE6DJg3u1Enb5RPcZ6mzt+p3ml2EaR4yJoOxOLS9O5+yj3OZsmZvhuTzbz
eFZCzLdaiAd1dB846vA+Yd79GuSuvoKT/CRGMRyBLJlb/hW8vWMt70UsPl2SKaQI5PQeqqDHbDB4
+KOsKTn7CGxbtHI+MWBQ2zpMUMM0nw/FCtwnt4/EQ9yXzSbpYh7Yxqe7ik4MysLwLNgIKNKKqGHx
3UcW5PRmrJRzqMktYsGQzrrKiuCt9OlSyZqBovHaSi4Q0ZAe5p4h7N7sbscW0STsh+KuUC0ilqld
8zyXe+lN+ZXAqHPromCtnMQxLwaJve9GWBQ49nFGN10MpbOIuhsy2NEJNKp9jxXeL8JZNNK6l6TQ
qIIBVge0NVnjjqlWSo76NQg6Z5cNMFVL+im2RK+ze5qEdOKdYAp8v9e3TdY9hOCKSf3ozsGaORxy
aF7xO7q7JIx4Y7ERRJ5ztV1u+f2JrZx7GESOchDWKfvfsvjeSSxr9FxV71adVC8wCRDYFmEdpe+l
DkX0aEAvONK8k6yYlsBNClvzoTO1cVpqGJv8S5zhjlmWRV2PMCbKyt7Uxag4mkWNfymmJnsociLv
uT35ELbacFUxwnpwzPZrHHHH6YqtSlNbJLrU8IH/Oj/YGZ3KbKo4JNX9hOyZJvs89o01x4kdAbDk
wPNvP7u585iH7I1FUIY7doUZjAnvozXjblXqE0YlaFcm8bVdNzpvLkcQesBOdkMzl8zmmBFjIq3z
jA/hZ8NRlJA8nRqMkJ4WzU0YGLve14LvEbzDWxve1bUd/e/1KLTHkEfvG+GWJlrZLdCehd+MwQqx
lExUYZdbKre6tRnXxG9hAaIqMQH49SD0z1NQpEpYjr6YsY4IeH8c5zojjTU99W27QTC/AzJGpLUq
uSeh3lHvtv311f40ovbmq/mGRYMGI6mfOXfUZY3sk9xmN5WYnnTI2Ys4p8cmC6ts9c8vZZg40Tz8
WDZL3x9/Mb11KsaPBr9Y5IUPoB14ZSS9cdbpB/4but1P9D7h8VthfzMJafhUf/wM0iNGjd3e4lJF
U3SnNJPpzqHLaBlw8y7qcMy3Zc/N9c9/Pwz8wHshftEF8NMXh33OMDUcSrsJ68sC9gFv6YaRHWdS
8Te/388Zz/n344FGwnBhIYqfmYspi7+qKq3ZoatbAf460hZajeE7NZloYg2rb6uJ0ACugOhMQnr8
m+vPk/g/Tuq5Pphl6OrerNH8NKmfQkHhVBq2Oy8nGsemi0FGPXz79ec53w8/X8Si9dPDw4hW5Jp/
vF/gc0uUVbPZScnolgI7dhGhawWXzCSDrSZzXOCBBkqFj2bz60v/1f2Djm2bdMTDaZpVsN9LKr4t
RgN5tJmHJNO6smyJN2MeBLuaPpu4QnZgU4R6+evL/tWjb811WbM4RckC0tfvL2u1PnFKbII7Fxjx
wcj7b7TIql3ocNf6Lvfvry/3V88+pG9cqMSWPcP66QMG9aQbmjdxuVbaD0jjWw7/I2Ksq//NKmP8
yYzKDYsZFWor4p7DF/rH38xX6rfvkuLR4aP9cW9OQfc5Su5Nrc2MMyNlfet4Sn+LEIN3cmAU/+tf
969uWsv3HNcRFtU4f3pocGgrmhHJasJyukKbYpoPpexvrvJXHypf4Sxf6QifP/fTCAxPnchZen6s
Aj0mvyUuinFhCHgh//wXEuQIyJwzlfdnEfX3t0uK2x7E0sCCSkBlZQ7gs7zy9X93jZ8WNSR60+FF
DZfblGflNFsB+OPXl/jLm4P7z+DL4fZw/3Rz+Ik3NCbRWBhZ3Aidbh4IsSOU9UP8HGmsMKT9dDBq
yCwYjPU9Zr+/W9H+/OhZum4jofD8Ab//WXsU/4+9M1uO29iy6A81HEjM6Ojoh5qrWJxJkeILghIl
zEBiTABf3wuy3VcqVZPhfr4PvhG+towqFJB58py917ZlZ2qlX+1CMSPlyhZohUgrRDMJDj7pFx9s
hr8/jFzPRSBJHWUI9/TdqzhWeaM0q12OB/vCcsZbNxLuB6XE788i8VYeFBJau7NS/eQF90O8DuAo
ql3chh38IAxXpeyPbsIs4/3f8MyV+BJkUoCutQEznzwmfhPDvCQaecfShpVDay5QMz3IOvn0/nXO
/EzCtQxd8Fuxcs3y+Z8feUfm5GXWJJpOMbb77FXzMrBNxTKugg+igo3f91iguD9d6qRcoUflIBTi
Uh14OMAuFio25bbtYsDUtK76YnocbeoxcrODelVZdPf1ugo+OxxZ1+2ECCth+rs1GtpoeW3SAM+t
KT3YXiIPrTlo+1BF02UA/vHOqgoTQznTIs5VLZGFbdIecMoPV6rs6GCPnZMtabNhj8Ey+MEXteZY
hF/3WXZw5no6L8CM+T5ZmwH7aHDTO+5pE7VPfl7oV6L37rBsx6/51LkH4D/MT7Pgcz2Qi0fyJz2T
wdk7Tr6ObSazopLp0ugeIcVAhyCHFtQhqivvEnM1OZcl1NMmVfQbY6SVQZ0gAA4VoeZ1b7gHLdHI
oyRQaMdsW63a1jOWXCdZ0cJzj6mFliFJfaIZWK9XkB2XkxsOK4tviA88NLSZN9XoXwjsLT7YtM48
a9DzBQoO9ixK/pNnjZydiupj5L4kWnPsiSTb86sPuGahGZFwY6rd+w/37wUPbkBY07blI3vBXPLr
w12VVt8rmZc732uJE43LfA1BlcReUxJA64XtMaL1+mDFYCjev/KZ15dqTndIdvfc388cuON6Leqc
Ykeba3zuHSVeiAEWDwC2k2/vX+rMl0TgwWpEr2PWyZ6UjsxFOW+OXbEj7p6pSC8Y4jEJwiKaFPUe
4BAOhIYB+7hQBk379y9+5ntSV5kOs3BOBuhMfr3Dbhp2tJ2KYocPPd5CiH0IiaSck3vrf1wGwITh
fXJRGLmQXU4WRHpADdD8JNsZngdFEqiq4WH+rDPT/MePKeUGgimEUZw+9NOEM9mAkQiBqKArgMcx
OTRezeRaKduBXuG8/dMbaOmk782kG8EU+XTbgkUBsDCr+Fp2bsJfHEnNUSMznQbcx0eM8t9fQC5G
aUNpYDPQPt2+KrQhwLZyvplmPUSm9lRN3htclYdQOR/UIPO7/OsayKU4ljp8Ndb8U6x/bkbxWGgI
MUwJuZpeqQ84CmVtjz2v6A+0KT+qRs9fEa4sMrb5pTvdXtCKI3/nipXoD6kvX0uiUM06xeMPFg3k
ifFBjMPvz76lU3ibP6oOrnjyRNoN5442cNOd1nUHnFA7y0qvY0f/4DK/FzbzZTgakiZI9XHaUMDr
TBYH/+ldrxnagwYAYi8hSK7ffw5/X0W4igBxxMqsE9d58iIPmkEYWiLSXU149IJOzzJLuu9u4dwm
VctA3ZuAoZQfrJKnIXi0FbgqC4dro5dmtTy5apBPrc+xL9359kgXPANAsixkioncZ0o/webG8+lj
BdLIjIqW7uTDgmt0d9sOVbjPmCNvFGURdPDqDqgSgGMpKQ7msqAqgZsgi3MefUM5oHca+4NPf/aH
IRSCJ054vnX6wyBJiDImGyiw8YGtk9FPDtpAn/P9H+bsU4aukpaST6zk6TubWxXbSFhmu6J1sc+U
/U5Pgda67UdVy5kXloAEalvWIaKgT34K283MQlYFC9EgTYQsQbQfHH3YvP9tzq1ACI5pw5H5QbPj
ZLOaEt0Ywk5LEQ8Rs9e7bFOD3RHP12Rf+sT651U0Z0ZkomwZeEPhAv66PQG4dHoEVylnx+Btvnd1
7NzmdfD0/rc69/KQwUlAD3eQL3Zy74YmLXAy8vJkse3dpKNgxBbYbwxbyk0d2t5XlUGzo1vYfLBV
nVvzUMRa1NX+mUMPrVM9MmGT78LQuG4L7XVKwo1MPpFNf89y/cHVzj3wHHvw0lqcLH9rkmV8R9eB
aruToUy3uWO7t8ogvev9m/kjSuV06+AmkiVnCROZ88m66ndQwm1a7juvU/qnmPSwjYbiGIM7iBVm
c656TIRXQrJv+2uSGtMrG5/rNsLnsJ5GSRpTmMiVIIR1nUHB2QBXTj463Yqzd97lhM2baRIGfPKT
10GjgxzJ2W0GizFBW72K1i+XqMoaDBreUzfQnXBhlx+zwow/papvyDkoXyIUHWT4tAepIBjTRYJM
MmqSkAu+x/s38sy7xkybEtTFtjzXh78+/JnLZ4gHym1VTG9yEu1GxxVTBhn6lRE+33uS6TO3Q/zQ
GNtzo5aq+9drGWKECui1lPaBeNNpOKxyW38lxqTYwRRIILA77QcVxpmXTggmdlQ07Fi/tfX7GmRG
HZZ8vcR+xpKrLQ1UO8wxanByxlg9VrWqVqgx+t0//65C0MWkI0WBeLpSWpqP3NBryh1ntavKUUCy
6+yWbnxIAG/4Cfd0+EHte+6XpGSjDWAITr+nAWC8K6ptLKjLGkG1y1H0qBIKs71VlQ+z3+Eg/f43
PLPn8AWpoUw2NorFkzcQV6kVxSW3duhDJhdWrVZ6VVYrE0Xs/+dSPpkBHoZ7+vwnG4J0rbglFpnE
F78sbmwg7ovabZ2LuBPig+Xr3DMKNp/Hk5DruR/86zPaI4krJjoDuybvHrqo/Gbb1QPEpXoB4+UW
imj7jw9HLGCYLgxbGIxPTl9AMTBrM5qp2E3GhMbPVXd1V6/kjG57//c6szDTUtdt06TzjI1j/j1/
MizISaEACzgCZqH9BHJv603Vw/uXOE03mku1X65x8kz4WpImlsU1EPSLBVYieWjsxr4zOidYBJmC
jYU5DO5rLVeNk4SPpapdxELMajuvJqRLdKghCxjTpTWggCPEE7fXCMrbbOvDZFnRrYE9EPMXeK5A
6sU2bxBncbodIbSH8ChtjyEFgJ4bW9RodeEXiLvJzxFbFaJJN2Xe4P7tK5LFFdLR6yTTqQ7LGKBc
GtfXEc7+ragb8otwjV31ZpRf9lrd7zyMdXGZNkvucLrJ6RXhp0IouEOcmC9KNUks2WQJt8T+HkvL
jJcKVNDm/dt77tlkF3cFzwkppqfrp1M1VQtgutghE36thvbViyQRC/Cn83KNa7b8f7x21NwUe7Tv
GQidvAt2NBaVGY4wxKto7jldwVfYq7b4oHj9veUH4ZKpIY0/egTkXP/6YFpDGpn14Bc7ROS3UsYE
2ynva5U+MoS+RJCy7GzjJayLD45M5vnr0qXljnK4Pi3IfJlXuVQ2PZFynJ6jgVxn7JzaLUYXTPto
ZjjjgOmCRJP21SorEAnCIGAhr4we9D5qyERpe1PvMF+3Flh0hKE8cHLLvJMJtp98wUbKQX1ACpi6
U7jyW+HQe3GnVSjgfqZWs/Qmu1qQMktIdjvJcE2aTLFqM/kNz4e4STxc9BKQ1gZHF/9/PtnLqGmT
tau5xqfKtD/6Kc6t6Y7JM0bYOAuFmG/ZT2sEmTlEc6V9sdPb15Fx6GJU+jYFlvjBk3VuLfrpOqeF
US/7PCt96PSenenLgn4D+PVo/f7rcm5DBN/FadVg3kZs4K9fRid2oqww2+4YOuEnJrCDw/hTmUZo
6pvxA9PZ2YvNOcoUvrjbTg8RDnztosh4V7TIyTmJTtueHAMUoGip2/iD23duIXBo+7NbYNn7rfjN
xhFiGCqqXZ3Ut0bjOkuyX57KrP7WxmgWIueDO3mav/hjXZ9n3hxgkRC4p3OaqZEZ95c6LRkyYr0n
Q+A0rdXeoBe/Kk0t2lmyagkj8M27GGT3bgwxNYRlXFx6oZdufJjwjy6WIOwZAXDyD+7HuceW39mk
jUT/1j9dGNUQNBpm73ynKvnN9MNPkdHfZyY6kvefqLPXceGcUlE6s2Xu1yeq6bUxwjib7ziJSro5
7WsxampVdvUHG+m5spXmFKINff4f9+Q9NJWPgwPt5a7FMxI1SFxVcVuX9iHxxHVWVg955n/QqDj3
AP90ydOCNZksQEO2nu80RahpV37zrQxxu3Ooy/6DM4d57vnlRMqQjPKRs/DJuahVniUJNMxZZozx
pY3kd0Vox7LPBFBWMWcXSS1e5qzIa2JE8BpoYlZm1oj+/L55smiqPAUQLHedgWMBVxs+o6it7yEf
liuvyDLw+Y23GVzlffJsVs2FU5CjjDWajOx0bm2WxnddGdhZSm81SP2F1MkrpDhy3VLyxV6vYCdA
vevy0biXiK7Z7IFiv/80nbsL/uzUpcXBc3s6gCWEqgE1L6n8JEAm+GhAnqwnW9oX9EwJ6RjVBxc8
9xPPziyEMi7N1tPbLhMRjhXF0C6ufGCVsqvlZuL0uyIUlUiOZtakv/8Vf2gnTo7pKGYMviCvC8fM
k1+awKSMKWmW75x88peR6px7KyJlk6wGAl7KDASykXurxEI5+cMu4M1Y5Lyb2nWLpG+rKYVy/f0P
dea+U2zMFmgfY+BvR17fGb28Ncxsl/rhzNMcnUvyPqbdmJTNU1KLaYcu8sv71xS/j/ssVAl0feZV
m4xm49elIxzsiTQ43uhmCpCymqG1QZBqbsiVbLY+IPsFTwrKSTtb+2EdLUdmMjgvLLF6/4OYZ9aw
2ReOHENwzLFOW4XQRUIH7inovCIxGY3MvobYzKZbtNUAwrkz7r5NUCNjsWoWIfy7tdBy5qhgDvob
ZSp9M5KU+RyRbrsk/E9/piwm+lfxSOGYSoHaE/yJJP/biBibJZsMXCeJwLNr1qrWinYXOZULc6Zz
V154YZSpeZ+CRL/mtcWEBhVieoq8zj9kuvtZh3L5wcH83PdnAoYH3Z0n9KeNI9ptSdbAw965WTrc
R8jSyLQY4qcYuMPm/Xt97lIIr9Ea4EZn2zgpQBg6VVU+b0t+Sd6krLzZzTdIUmvIZH16/1o/frfT
N23u/pqcXtkGT4//hAxkncpjDge9HXiLloExZq/JEttAlv2qcDNxIUo9uGkHQ10ZhhbeGq3mLy14
MFtJtvL+xwf6N+TwA3wD0rn5nfvfvthv0RZX3/rXNzpn/0q2+OuP/MVvEML6Q0dCSVMAKCHHaZbx
v/gNYl6y/yY2GH8gZTFdl6X1B86BGuHvaAubf8Q7joDPoiKlV/9PiA2IRVmbfnq0mPegeHToTpgg
GwxEsr+uXVFrDT0blXnpBo37iawIEGOm0GrY3BlInCivKjbR8uAIvxJwy6p+rYMpXStWfoA8TXW0
A70znjE9pFelm0GeqYbetJaGrAZ71QFW/2T2Vo9xPK9XMF8Bb0mEhku/93B1SHQZWGWjot+CZRd3
ndmUn4s+6K+n2g+QRSO+7wA9EF+MFbFWmzhnEObWSY4DGxj5wsUEunWIOQKqHiUD0RVhaSUrbSRb
wBpHl+7vgLVnx2o5IWlOE/1L0mWz/3RM0ze4jdV1HCKjXiiVD9c49ZoQOWvAd89lPjcZhjh19+VY
W0RNim6Q22Y0+KdmA/750Hm4kKvIxu0WImbGtp+PAyAcPiD5B8EEM6+sYEfdGh6CY99KwrspSWla
Z6REJC7xiCoiTngZNOXM6K/dHb7/AnevVU7hLkbLd1NjqylWmlUPrbwEW/TYStm6E0GQgQ64aYfX
OO62eWCEprv18PChJ6ljfdLRb+c1HO8U/+6VCeWAM26LKmFvNaIExy1RraPrnuVFRbqOvYw40icO
A1Zj3vWAxhc1fQq58FDh9ngVqx7WObtWjNVflmGNHd6TRLh2c7MtXBIznQTXAbg3LNIl+DdgBa1J
iHTV9W57bHStj1Zhpc/yH70hz/LCqIFtofJp+vnBcWntDIk9bbQBhSi5VI7KCFBpu04inhnzpDXr
Rd00BLjm0MoM1YjnMIgAA3weYs5m9VurqjbHQZ1OZJD92Wr+94L30YJnsEy9v+B9qXFt/7rk/fmH
/lryfPsPkqx+SHAIq7FBCv5rydNZDWd14g+UjfkzsgYujY7Uk97UnKU+r3J/L4CIqf77v74O/xl+
K2/+XMiak7//mR/Dmf1kwaNAZs7NCuyCS6E+/23j7jTcDpgjTarWPrqc0poqF5eQVSVjcSQE0xpl
vo/7IPoWdRpq1hRD9YPt1c6+IQ3tPsu9AJoxH/8S8JlDxGjjHIfER8/QwlvBUE7SxAKps7Ypprh7
tmAZX9UeAuRVb/jdxm+9+MoYPHOZ2jVOTXjTxlpyElziCDKhw+ekorrkx0Opy2/SVC9uWirlO79w
oICTdp5+qrFpHCyNpWExEDv8rFcqALURaQags9K/yxiF3aH//IQ/fdpjtRi2rnDDG6eypztdZPXd
EJrBxgQaez2Re77WlNliE4FGPSgznU1ywxoLk0tPl4jBhy5OhlfXzZE9NiUuHwsI+k1VyeYGaXD0
VOVpN5IzwNCNZANj40euuHftKrqzBweTjj5DzzW9GI51qIyjVzWPrCMIwBmwuBjye9NY6qacgE53
6VIXw5cUJyP2/T5tdiwc8bGKi4QAHGk3LzHeYWzp/IbEGSb5FezzaKO10XSowUgYBIqb4QpKtgun
NPU8GBtafAMMADl/Fl6TU5tsUGuSRB3ZsCwc39/pqlTHIcLWUGgivopE7lBj5Wq8JxC8I22ZQKTW
SY1rrx6wIhhVcYl/SR2tphh3HIXN18QySzKIRHvPgRjOQp5qKQEasp0hKYa3zyWEsElU+qYSrrYq
gqy41VrdvG9Hq/3M7C77Phro0Iy+IwA8HYrrvLG1KzN2N6Gtt8/cK8B31VD4N1Xj5c9mDUtcYEZd
zRkSa1Wk01bpwAY0mq1vlWqaawCj5TFhA1n6Zk8/M+HBmcnzvv/VNBMAZ1UtQIhpEzRU8uijlEq+
iG6LZo40cfyKuHvEGYtcL/uNRxL1gvPGa2/03kXREXmDflpeWbUIl10BHEEzpo7uZThsBqFhIMBj
kxwlPX0GEtLb6T0IRciQyY2O7pdnKpyugbBLCZ4x0L6C/AOZGISN8BeVcrJhAd6quyhix2X9wv8b
pyiIzRxTVaJl9nMscv2pHpLh6Pipvo6spruMYdUTJyir/raGrv+5yiSHei2Tw4W04/CBhHn72qug
43pzhGzvFjd0RNs7o4+MdWrDrVp0Pf0DnsnCXZCj3VGotFQwTkO5DVi5IKY59pxgT1YpBDlf1Ht7
TJps4VWCplcwVIjRnDrIP7GMyJuRuMxdwYa3BhFor2NN6pfokQsotb1kMFzFwMmjsbrOwzy8riPL
gKDumC9ZDNkYG2XNXhxEbrgYvG68d5zUDMHyZWhiEhHtbIS0h27qiZTINVfBLNVAhWwKOerXScBk
ZalRCeRXWkqmhSuKSi5cpwzIa6yqgJUkxmk65eVbJqgzF52TD5fm5GJejVMbU2BCmfAp7JvGB55v
IxUFujWszFgkzK6TojI2w1CxD1MBDLdUQ+KJFCliNkNp1LLaZA7NpuESpZHH3oy3AyaTsal7Gc44
OzU6Xrge9K7R7wOKqdF5DN1ctnf4Drt+R73E236YpNFoE5kcST4QedIbqbqvkyH0vlphGkTFMiKw
SdmPeZ8ojpyetLV0gw6rTd5GV0qRblE71zUbF9X8v+uAD+oAYaF0eK8O2L+9RuXP556//sT/nnug
01lUgjQmEFTSn/hXESDcP+b5EL1npDM/1wA+NQBaT2Q1pNTSdaeR+je2Tvzh+yhtiDlGNkYFYf6T
muBPjfvPh6D5v0AVguqNUuX3gX4qgqoD7ehcYQdERR4UQ3VRkGBsrDVPjERLw29CJk+UmO472f0U
S9v/wt71LSon+95yU9NeitJ8QFY1PKWuFl/YpjuQPml49N5k4cxE2Akuz0ozp7G9I/w3BOoY4jJ5
1AsQK4uijzMzvwCi0rA4ZUly5RqRTyBWlXmbuImKfR6M5tJNOgiaowhXBf2jFSN8exPFDJ/Xid/d
soEzukx0BQaFMKBj0xntdnT66mD4tXqbRPZi5S25PX6jf85U6W51GcuXOk/1pWXn6M/N5hXimZhX
nQgkh0uNfjGN0bDTZWlt+KG0K8jNASHlbr+JdA/wxrL2jbCvkbp02KtmHzw2VSNWybUWRcZTPw5H
q8OlK+JBLhvEPHdjM+dddRg++1Z/yuzYfxzgml4PxWBupeE/DYPnUDVgLjT7/NZKtGpndbVxVec5
0Bqi5tB4xPEx70uFpiqKL30te/XbygaXjNnXJrP+gprE32al1n9pUjfYj4FtbhBpQfLlBMMi6olv
pjC8aumB1t4BUvvWdUa9JnN4eGZmqopFGCecXjjiLKs8814Mo0vXtptARfLKpzzOnyqNS7O0TmAJ
VP85aDV7DbSqXFtp7C5tCc594aqihxgCME8szNjP791psJwFKctyPz+Rj1XfOBvSqsnaBXnL0dbo
GG1Ertvy6Xt3VWikqzDVNp1xJQkiZ49JRXhnwe+9Gcdmug5UpC8jZA3HyDRIIYj1weYqZkkAomtt
SSxA+J1rZnyvYBAf7VyOx2h0zEv8iAmW9UDdqLqqN0XTDF/beRC0gIPQLrtUk999RHod1gI6Tbmb
qCMBPPFusIvm2AaALRaDo8K3iHD4JdQ+excJghfhXkgXHzQxG4u4dfUrVYw6O6M/ZYu6MPRiWTlY
80Ov6T6Zw9gpyB2jsUnNtIJgoUN6NcIIQ3tk2EtwWlqyKHPDv+hzIOWLlkqKdJgK+7qvhmNc8aHc
ykGKMI3NI5z9Il/0qRF9L0lmBA6Q+TsXzfaxtrU3Z7L1hRlFSbLAqk7UeK0pA4RMCA5YmpKyUPef
4p5DP+b5C+A18U3uwddDU6F/oSTONgbJbF9T0KpgWvI+Wjp9BEClJuKlFq16ZhJm3mhp4K5QDAeb
ri1xGhepGi9KvHft0iNF9OA5KcjfPAA3O3bGdOPaVrmeKii7jjMwBx5MY98QrnwH1Z9ea6a6T3YE
eCMmWQaybZBqRKCF8YUmCUW3wfnkSw9C3cIByUW2dOY3IHYVaPS6H4lX6JPt0AbjOlbe9NhTpCx6
VYlNZAOViHzALXVrBZeRV9Q3jlORTeDVD3GqOXe+2e3qwpyuVQewvBzcA4kTMUPwzBj28KGJblJO
eZPkTFoEvHeKNumN9ynTs8u86Y0HAzDwS6yLaqU5RLN1ipmiN0Kl2xf0b++HpDKWWMOXJjOaS1KF
CEgr1W1oVfVxTGSyZPHUrxrozZjbC1TBeWyyKFT+CkqJvp8q8SZQ5F9JBD17Q/TGPm86ZxELYAxY
/uE+8CNvayOIVkEskU3LMViMhtneE6E1fgNTIpeT5o6MBohLcseKaNMaGsGK/j6g89hOt+jn5CoO
WMh1Y2ov4qgbHgE2WJtKwiNwvN651Ad4BAil1N4PI7UKUt/7bJY6Q1II7UttwFJTWzBRScOznc9s
gtMOfzVM3aTSFoOKTIYBVvedQ0p5ZdlxeddUjlhKdCfkheiv4ZSH60pkeBHLvt96faPVSwk5+DOC
ovZY59ndbFY4RL5TLM26lhdGFrY3E776jQI9c6OL2L9uolkE33bBtLYgxmxzC9uaYQ7eCqBlv+rc
yPqGFKRfK3f42nF6XaasmdkiSFW0BAqmHSMNazmwAvUEnDheWkJOd46n/FVrls7nzot4N0wHFIPt
ZXsRpwNTl05jwQrVQtmx9ZJmwI85A8dXAkvTdtJL8ary0CJFc3okHArenRqNnd3jR1voWmDfx7EY
4PZPnJ787G7SxZ7qQQceYApnneojP3ABUGEFQPBWyTR80gYgQUmXE8TCSeaGSQBoWFhI6pMeOtXB
Nyv3EKKqIYIkDfwd66a2bFr92LiaeTdN3U0Xxu2iQjR00XHD6F913UMyGvkBZ8uCVyLeFr4ojs4U
Rnvf0+5SskE5L9eltzDN2ZRahB49O6fbhF6brRuzg43lBceEcLBt6TTdfg6+hH2lxytMSUQYdEa0
6XJ8M2HbAVMasgpeUJAfQ+BfbEWBeo1iXW61Xncupr5xvwo3y77UjdSu7Ka+bczcvp8861EfreYK
S1dFrJXpgvHXJqY0Lp462+0fG0g0B9vJX5MJaFiUuOGmSuNy288DmI6IGOJQtLA5gE/riO0Nrbsm
LMqbqbLTFdQru4djfyuo7T9rqoD5yq4MSkQE/ZOAcbbLpt4+5jJOABXBITSTaqkbOtly1qdBUxZo
uzxbxwWmehfG4YPvhRIek1ddS6+FXAZ6ZaNXwTePCNgl+ZzR1msQ+ROnkO2aMpuOkQUARdpp+Nxj
ily4TV+u5JRVK+Jxpu827QmoasXSSBP3Pg34CK1I2yWfbyQUw7zsWVXXMhIvQQMTPC+t6DrhaJzB
CbpkOHQcA2E9ZoC+DhU81zUnrx6yXORv4iENXupuHLbWENcvZFARUOZ3PqBDNEKuQgIG1f9FCdYV
X8/FJiSILJ3pqlkXvWodmSz1aOoLl7yFg++PC7xS2cXQXgD4syDllHl/ZWVluIw8vVxGkHYeE80p
7imq0oui8tjqbUHcVaxSMMpl2QpmiaG8yhgv5hjYtt6g1yQiALUqBlsDx2iRdhEZIW7UgmXHSLpd
SCYYOYwqcW4qWw77yMoI1fQQIY5JYi+VpV4awVoLrsKWW6XEdC3J+J07U+JQTnWxsT01vHZe4GWL
ppooUtLGgfWThRCDHNJtVzaMyK9FGskXZyRskjL3NQ/9YMUH+Q7Ms9oksPjQRRcaQMdG95Z5kmq7
EBetwyk4zUGdW2lxCciCtN3Uctaqz6GHaVb4FrSQUckyJpwnd4h+x0FCOG+aXFP3Ltt4VvcZzrTR
GYKtJxUIDo0puRkW1WbkefouMDX9O8M7e9Hizll0LaG1wBXDtZjT6yk96nWTpbe2S7QJ+qGRYD9U
3QQ7Q6DV+alf6GOH2CGCYO0WnWRiOjbpoW7g9pJI26wqlZEwWrmB+wzCuPY3onOBfUz6rSvZkFAh
hsmVUK34Okg3u54GQiL03sjI9k2NTVBMsOnuvSEgt2YV9F5Ufo27vAczlhcZ0Bd3iNLUOgS2F6cX
7eD55YMae+5a2b4NGnQ6v6BSXiS1AyCVYGjhMntHCw0pn5kFs5uQuUEbgJCCzDF8k46M3hROHNCb
jf3MnylftFAFm5kutwerCyVI9N6w0hsvPnS9V11Wkn+7bJzys8mbBwex5uBPDEfqE0/XEQC4jV2b
yUsoh+KtDnRxCfPJ2zuGmHiDOcxduZ3zMEXkiFe17bxZyCKCxcT04iKwfbUm57W+q3PAeYmT1weN
kcutrqJo5RBcTMQmmoKdlZGMwmowrqj6jBVoOZCkqskXIdwzGCSZtXYz27jQi8Y61HpNCYCZau1l
0UAu1ZibC1fjenoqy8ch7q0noMd0ippYEj/aiLllqmd0Hblzdwo/9jLO2vGzsoPrMPG4rdBQh/tB
+eGqT0LyvAh70i9HCcQnaaFkYkMeSNIG0dDRwZIeTcIaJiCVVkfuDoaJRSOL/DDkSfIQeln7uaX0
5MzU9FdjMYX3uT01G2++2UEeJVsNHWG4sI08utKCHmVyWQCRcxiC7Gk2VfdBkOstPEX+1Q5W3z5t
6uIOrGgNg0hUn+qoFs9CetVzUYYwgl39aBlQibHc6RDADCm7ReFDaOt6QJJ+Lu/7aGiKVRDIwr3s
hsi6LaLq1Z1q/MnIeEI6hJE+LT2ls+3H8InVTE4mUCYbs6dEJ6TYS1SwhVVBK3DsoFRxFGofQV2p
t14T5lJCbblo8lCu+ETFBqMvL+FQF6i8ndYmsbWqqXXgKpMlE9nqy0TVR8WvoU8AJcVwzfXSCPxZ
Ft/VoU8lVk3kRPdJZ6xhAYu1gSVsT056vI8AQh3tqI/30Jvcq8zm5OAyWlw5uvYl88rpMSLSArkQ
eS60+0cWDd1OxyeaxMQKi17p9Lbc6VobSzJkOxlsW6PP7oq5TjInnqt6sqCxQa46BEZK0CqV7xLy
bbkrkkBgqRZzsHMxF7LCro/2TEWMC92eVzDS6MdKQeRq4iSvnktUUvk1oKbGJJDI4TBWkXymL8hH
jbwlbkXCTGGIOdMbeHtd3UDpS3ZORNByDMhofGqLQQ4Pk9KI9V5oLQfe9qbTG7LJ1h3IMzKIfBrB
6oJbUnveBmAgkz7zz7Hff+RW30QWYdFXZIdtA81FA5/lw6ef2j9/DV5+HrSIE5kbfBmskTZCRqoy
ujung2WmvyoBGKSuQq2xV8CvooUABecO+V7zCEoPX4zc3PaJcTBTe8N8c2NHYu25wBW7ad2U7Zqv
ugVeuEohVL7/4U7EG39+Niw7wmI+AS/iZAaUi74q9ACpBPlVV66kVgx28UdKuHMXmQdfLo5s7Gen
N8BO2oFDb6+uYkNfzH85xIsVbrn58V3+3ZL8oCVpoLlCMfF/azGucaj83JH86w/81ZH09D9+2AIp
RV1b+Lb5r46kZ/0BfAy7DfaXv0UafwszaDy6Njp29OyznH02SfzVkzS9P+aZIgQNMEf8cdqVJ3PJ
9+aUv6lyXR+/COIi+q5YPqEJ/arLCJQW9oRX2/t+0GWwMpIpvYsyGRwYafY4ce3myZ9p3qQmThuB
SvbA5iI/09kbHm1C6T4jzGqeiHRs8IPoxvqnO3nm7T55uS0+3WwSxt6N/pqu5onizcfQEQjlW/uk
t8pXuqaMA/WoOALtA0NdMZDfEsDUz4AUOLXvX5sx8K8jXMtD4efx7jJPRmKKLfrk3tBwkk4XV/sg
DJ7zKjCXHRFlPmVJXc5ZTjbERd0rWPJGx70YLD9+FEkdvwwTPjgcp6Q+yGk0D2GGkCV1OlCTWU13
r65KB2iMx6xtoJLbBypvj2JuDVm6tOiozGH0Q+6LJUtofh0Zo84kR/SCY15FipVCa7PqOqLTFmjk
tGphgmFnr3KMz6TGgd9t6B5OjVdeuI01resy6+4ixKsbQiqLnoXcRE4dVj5JveB7k6UZW/qTVtdA
TFL3oRvYlZfWVKUhwxxZXNXWEK61SOPYUQOg3Y1aTroAE71FMrUkYk+u+h/2zmy5buRK16/SL4AK
zMMthj2Rm7NIUTcIUpQwz4kEEk/fH1yuc+yO6Hb43ld2VImqTRLIXOsfiXVG5ptHfQ6C0pir+t6W
fgMvRkj3rbMwd7qjEm/kR+xUr14veqgb+UqAPwPNiW5uRUtd7R5XAFJGcuauECfebrXWSgxv7Ohx
Ccf1Xne6G3etp4+xn69BssxQlAfJ1QmlxKv0tBK2sYYpOZJ1uNm5eDHmLk9wNC8zuzT1THFrtuJp
LcASIsNaGBMLkgWoM64QvLWpqCzKntze0IAwNuumxe+07COguYSow6lS4Hbm10qtICACCriwtt0R
7MH5TsqXn+SO2z6QVLgeyHI0RzJIoTRtCtLBeXW6+MhuHA+jWJwHRbnpkSkk+xpQmh8qvYCxlzLm
TQ2YbL3maTNJlwSfmcsLODLJzzRofOSe6E8bfaxJUPfipKgu2Q7CFNlGAQocV4R+ZhUgl+109Ikf
vyHDbr3gvUtfLQqnANPyhepAz8l/2Ysu743OWNklSJ/9RcBJRZ0yDW1YVgoATmYtMGIlN8cKXW90
y5h37znPKNq7m6tiduBVCdpZno2xAXVnQ6FqBjA9HTJqOFL6U3yo6a+2zNMCpnssj6beLV9VJRsD
9DQH2tyBdKnvxQlj8QE3UfenoJW2eT9RHH/Z5s0617pVyu/IK7PglrqR7oPQGzHTLzqvsAHGoImf
LatNHY9A82ClorOLRMxjqyVd6qurVAaJVJPuCSOZpbYVz4qpHzxODpSMaim5rEy/Y5PF40zdxA87
WGCBK2RWbRjg+NitRITub/QSchWI9nYkzq6PB93qPiby7c/GqGoe9VXvzqqaqifD49DMIPoNBGVF
e1+SxHNnzt0QwF8H/NfG/XtTOeDTmG4Gfa7OlE5hLu0JxbZLmxe0O5+efBNKI7p1OxXdQgZo6nTv
i9z7BgIH90ucL7zIyaTPqxbO+jp/4kid9SueUUe/C+i6nJmK++5jnGhZjymi3Q5/O8oDvvM8orXR
TETpc45WmpB7gf32WhOIuydfL9aGnW5NTWKAYm4CQ3048zzq/cWXhc7/VBlFJjxHUEQ2Y7SxLfI7
xaN1QSQ/lPDHrAQ4pxq36aYbN/duYP2Xsexkpx2WWRTlTj33x8E363vV0vEDrkwYOItSSUVxgcnc
7jperAJA4H7ErUkRbAbdG/tKyvPaecIMdSny5rbRxj1diU/As4sA4tyytYN4DBD34WY56Ry30+j9
0GS7gGsXYxVEdba1Rtz5LoTBnCsfH97gLe+dATqau8Btse8SFJQycdG1tkLcs2R+Tob4Zq2Le6bE
pXSO2LCXR+KdrDrWKpsQez/feX/DLxpkOR1stu2UKbu6Xl1zS6aUbzJl3+bEvr2Y1bxS/5fPzk9H
ti57nGXkh26pktLsoKNrw4HOqhH3oSDKb2cWJXJxB0DPdYCCpphmpA9Xq8WZqJwNHcGUai/APpwC
mxWomFp30o2NofHMCAn2BPdOY0AZKjoxFF06luL0k245UoW0IarLHPuwphz4U2NNf6qK/zM4/qvB
Eak+09T/PjjedeR9/1f8UXXin3Vtf37hX7o29w9nn0DQplmEtJm7n+4vKe+ua4Owxvm7a8PJNfn/
yt6/kdrUlduQ12xI3j+Q2g7dblBr/6+lzfh3BkhGsn+aktD/ExiDBt7cLeNYd/+nK8EO/H5yV8+8
3VDlZduRMGEl0piyVvwv05Vwc2pHGzSoofSdcggZbLd3jWYeIzIL4zTJXrtFl0oO+qA1B9wl9OR2
G1XMWXvKR2u++Gy0MS2+7k03t9ozN1tPsHGm3YjCN0I4DPdZ+v36rSTYveVBL7Wj0Q9d2ExAxO6E
Bpe/zziYA3qPMKDQjZBt3k4+90rBV3aiwejqWuBCKOJ7ToL0kfqJ+3XqYo+fY2g3vXEagI9DbEhV
5NXuxbAB0uYqiPNs+JodY4nnsgc8lGMZjVarrumYZcki0MZK/WcOpA/eP1EuQfDNQenbdkT4k9FB
YB73a+aNE7lMpr4q4g2YqV7He9ot7ITQfvGBvM461F7jR71Du6nVuPz3G6pP+EnZsWj94KSmuXjy
sryLGwPnSV+ZQbR0wMVL30sCacr7UQXgjRO9SYhejHBGIhEya1pJrlP8lRUwi8teaCa7errAKl9z
I0hDw2qeQJyXhPChY9DMp95GMpuSchyqgKoKm0TH2Ex1OsVKI8Lq++oIqSIp9m+ir0QsIFziWs1Z
BC/qJrU/fzZTEFsAlJe+NYobtgoVWSZJsJt30Iq6PzgbfP1cuRrwmucxiLinIA0uQnV65FcmfZfE
c1OAXXQhrlmHBR6ixZrX9QAARMs0yfhnE9jqxStxRE1cBWgIML9Oq+EckPqoeFp1G6DHIb7Dz47r
DA46WK6dBEb5o197+2bQ/LNq0yYyHQv4cRpp/q2zY27N3p4Nj40XeVRVDi8glq/+ut2W5uKFGYDq
QaMfNjH0LT96ffOxOeUPQo3sY0l1HT0Vyx7kT3/2YAa/7E0rY6LjnZhngnAALsCFR8IfM0IzSloL
skrRtZrWUZUxzvnGFlHFo4eGcM6DWRo/lL0ZUTVON6tWfW7KXrHD+H1Cz606OS1c80aqEcI0ngVE
jUMMpG+f4O+hXnK1RnrNP6uM8TsNXE1ceURl429jk+rUcDR8foOdFdgHF233IbXKb6PpZlcC75uD
5X9mrH8XxpMB9YGrveAwaujxcHM79uqieGpk5Uft5NJoVOXq2BfB+IIq049xU1VPGy6XeJq26yQo
L/fLakkgT93DVs1NTK6vl7RE+IbC1PSHwh03fAB04BkTA/vsUAaeC4uJwyvds2EiCykyX55MMzsL
5vGbibKcWDPz/tvs0KIFoUDhqF16MD7BEhOkMoS6Ays5OaX+TaW2HgrNcHlzB6bovPeiYMZDN25V
+1xplnpI+1m/GGJanDBwkYBECybRxO39BUaxcSm0Q9NuAdcf+KjzrUfbB39Qu23pojp2lXun2dVn
IVmNypbbWw5ofGZfarG38fPst8k5eXmN3NbSf69pjpFwwaG5S3WBqsWz7hdnomJdnLIeNeqj8+Sm
5ZAszJ5JHgAIb8vecMbEH5pD8HMW9VNBLVlqzA81MRMh+hUKFgvtF0lV6lCP280ovNti4c9PJFwu
Lm0Prd22B4/aoKiB8YtVipAkJzEUvqT4GDqY1czfnqfOXE+eZESoER6F1OeKyNB9RaI6aPnYDjxS
cL5XZXpQjeZHMLBI+UW59xhMznNqUmTSeEEyKy0kxhW1gD38kvRE06Ki0juHbMmjXhvGhYGvOkD+
y4S0SjhWUWFBCBr/lFv6fVebP1x3uqVCsDxPzvrqL5MXeoUroho/83nWi/aFEH4Kb4kS6XuqdfOF
RpC0ENGS1S+mMd94thjvet+8FMRPo8Ds6utOTeJeeqjzFIzaAhtlg/w9Mk3HVGKneFTm7kgmRRGn
aDGTgaT62z2+F8ZupOjZguat2fAmK6fK3Q9elK1OHaTLzebC3kkyYmgtqWVM1TMVadv2wpJWPNA6
dVsaXEIrSie8Buz7YLv1YZwd8tyhXPuKyiYX0PpGDdOZ0Oc+RKSjhbC4ZljnXC/YZtx3PGjfqZKc
T57yvroZ8DOneuKAKGs5onXSDhmVeJHXyOBe1PJBz8CHB4Kl+eDLtadrLxKO2WN3fepKxCwElR7o
HsQT69qQ7Ln2NgcwDYO2flkUNHEWzvPZl9vIWYPESaWpS5T/WlxYYBZstpxyi685+GZQo/m1aR0L
xvBD5i0U6NS9RWRobxwzr3xbZOGcN81/UWK6maphDHst+01Cunep2zo9aB4hpHbvGgdy7v3EoCDz
4veA6Gx4NOZxqh5Gd+xi0j2QF3/CkrbiGzEv6URVgq+hdTmti1bYfbQyO3fLq0hl4/EqDu5U1uHA
09f493QABazEXk4xMS9ZVzbOZJ0GsysAXLzeNdNv1ry0Ftp9pcYJTalDMRUpJeGwQXns8oDUebLs
xnPHd/q62q29kHc8eUFU0osBs9WWdUEfM7rycRvH699mxv+M1/9ivEbKaf+fHrmXX+vH9I/A7N+/
4q+52vrD0bE64nfE/OFhlvuHudr9g4HWJK/EMDE7730HfwdmLfeP3WnNsEvhwp9Fxn8Bs6bzB03J
DhAqWuY/p/F/B5gFzv2nwRo/HrlkJuO1aRvkkSNb/Wf4UReaBhXZ6ecFJOlNajY8Yq1++qtZ322G
NtBEyxi4ktL7hEn9Ok09MIksBwLZmJL1cbrMyuVV973tanezhjjRclNadMr8YW4H7WP2vI7bqtPR
PfoppwIobDY9tJ6jrEfbLiqTFIoWvve8GaNv3gU2eppvUw1ugrSt2jpklBU2savfjzpsvo5pilD4
KpCioTwhJcfnsG2Z7smwX8Zx+Fb7rYATRTxXG2iJVhdS1EwDkXi5bk+HvIZEvAibrFKuP1wVuh6u
pqLiuWjKzbh4nTJfbZVNREBsndE5EZqy1YcV9JRznml/o8kJy6pXvqRK02YZGt4eu5J3TvdRtqn/
lZEX5MWbOa3TgCy+wzCAMNMr9GdAT2wlgo8wHau1M29wfdO5PrtBfpOW6NuiRYDrHCQInky2DrAv
pof+1GRd/762BZ2a5K+JU6mtPvez77wr6VDkReEAZpbiOdut+uE6l9fBbLsTI+Nr2RWsImJBmdAE
rCFLBlY4NFn+VqzFkiUKitHz12tnjzcw1PPblDUtE8f0YDUrvVetRL8iM/cntYILJuzlfSudKWIQ
iKrVOmdr9bpKNiLFdXshdekz48ZL0ATMiHlmOoGwDR5nfqQaYtKQOOjlOHm5d/BNsq+D4Eluxatb
m787PDQ329QtYVBldxtQSdTM4p0YpAvS2PZUCeAwyg9iWvLMcCIY76bvdeMwDttDnjVdWJnVa69r
BS5NrUuqRv5yi9a9Nu6WPlBV66KJAMIKZmDviYWhUjM9ZJKK2HWT92ZpubGUco0IvAGXXsBDULCO
V1/s/dKEYp89spcOtNs44axlebRNg/9ZcA8eERUVn34+rJeVutakHxztKesVjXZl9gucsrt3NPHs
iGJ9bhtVI1MGtMK0UJzaynXDudBRb9JxjG7ambnCHfvMuZAfxtEMDvinbJYeLTiSuvyrc6rmLHLR
xSlnR0hcMQFU6Vp8dpbdRdKhizHLRpwxejPFXWc1IZcVgVObxh6iyxqDPNIH31xfDKfVSRuuXrU6
PTPEEyMxUcjnCO3NwTSPPGItL/nggCb2dvHbmp3xx7xhQzIE8/ZCCtAkB5aaWekV2uVqvnFdwRvP
fUywGnvHbyLyGVOl75NJwcVKRdJYyk1Fqlm1E+2Q85OCpvaeaxq9HsAX0BfjiS32ock9WB2OkhQt
yhQZNd3blOSJSOjGlh0L2s4uVOmODeEEKK9QoeMYCtNFoPYb6MFKpXzAdWlEUvJYZAFhHaG/rupr
6DlUk8yz6ZUU+M8ZXdQS0MzFrybSFPGg0cCn3amNRfw2hgGpAZKS/kAp4Zz/RrIQ8K4tAaFutj70
eNN9Z3qfHJ4WnFp2DnUlG/0mb4PmuBR+H+WDZh51ugqoXlzOnirdo5d3nBLrQmsSfbaJQ9VeiFkM
ZUY/WEmKrJiKK/ofTX/7vpIE+uoV/XpHofUHr9SbSaw9LVtVx4YtLhSd2XelblbxSM30TasVX4SJ
jHFBseBrM5aAc9BHxZWQcmmERFVY8cZS/zA06behNiuf6CcruO3RbV2MQBwsz5K3mLb6JwyH2jOp
T96H2ThFTB3qEG1NMNJrmeV7pPOKSD9FzXFQtdKvbqo61ndKaTMhxF095R1GoQIqCHficdzfWrBL
oko3aR3SwcGiN9Rsr8yJRM4WSaGm02Kg9gopN9vvks0PVeq2j0CI7yTPOydbNsHP0ZwevdXOl3Cq
YIgsX3x30btC9ehaQvHsGT2YH1ezYUFoGL34nXa2nRA/pN0oKBKEKbMRt/oGUtSt4MZUsR5S2+A8
8NUdkuLqfq9WvaoiKEMy9b24aFck1XS2RRIleyJskwU9oCZdX0w/QqeMRN8Yj0rLRs5gcQ1mTq3N
Yt0JsKhHuljbs6hsVBrL6ISZsTwRPGzS291VSWc3DHVzF5wGEu40NQTnUZcpqTIrKjs3aH6i6cCe
Dg0RzYaG/JTZNS6bDg8GfZvTS1CUgBx+pXAd10E8ieGMIY6iQpTu6+B9awoPIVmwzAedtuZoUfgh
NRt5dt6uzO1zs160aviidPpai3S+MdYaNmuh7Kymrfme5Gb9Fo6tS1pdlYelEMiUEUacNMfD2NbD
AGLYKiI/q+qQlhgcZxXjLs4SzrvB/bFtOlufTyddXokfhGdUN06fAvfgJQvJxldhr0rjlmdgOk6F
vfeVVb8BuoMDHW0/SGSFHUFQRa+OctIrJuzUhHzk6CcL5ROwbAFcEOMD2rM0yqUx3S22j4ujBrxx
9QyU3fndB8MvWxT1oXYYGORqvzWQL/gZp+G19vmrttFmG5hX8XucbSRQU1nFNocosswlfyDhu3wM
zA5vg29ut5Lws8PiVT/mJtVjDlOwIab3N191XBjCQuOLbFlmGOdKLB/40Ir6ExrQhKqkWpLSF/dQ
Sk9FbaC1h6ncmlvTMIG91GZHtI5+TjkiT0k6ZrgEfIYFvRxIzuC/Ega2PVRkCfADRSblsjjTA8cP
rOfjS1GV77z2lbiKpfVfBs/hay1dPUPwnrEfLpFWB9njzB7y4CCgewfUeCa8Fxl8ndFA2E0nC+c/
G1NeYjeZUn7QeZHb3wKn2uvY4UeU8BObNBgTdM/Ldm/houJt2B12mB8MWrTNL6ddWydW/J5Dsze6
e2ls4qSTnXSiQ8z/sVS4dOCPfpZ9Ku433dKw0spcnspeWPfYdSTy/nJtd8CQEDdgvigwJW1+qePw
ROjN0+AHztOidDSNnJpUMadmb0YOeNXvaSSKc39RM36nOLS7UEEkHvvecHhlWsi60zgFmDpn+H/a
6S2SktQceeilkUuV3zHO6p/YGy/1QrlQXHbACENmfbHrOc+tW5g/jazUALvwg6PEL+b13C8dyq2C
iDZyGBy1/tRrv477bp6eNxwoZ/p6vavMKX7E6fywue1NCp3kxZLrYD0Z2lbyOLvS+0qxC0a5OXn3
gXCKN9BX+2rMhROPzUK2X2H1Ud+hEI7Hge7ODon602jZYxEpfhR3a2VSaq+nnRNC2c5ZjEQKpE2u
xMa1PugQdTUlVcqLOKDywJnN5zqK0dWOJbRRcxyA0t44zao3rrj5e72s+nNVivSkl15x1p2FiTcd
qExEvgR+pE30myrCDF4zEwjwBvnW7gXLx0sA1t6FuQ651GP6vJhUyUd5sxr0odptH7sy05NNR+ct
tlW86f42fzn9Ik/+1AU39L2LezvLx28d1Q60hk8dSRrW4MZV46C3ZLraXoNRNB0t8c60vGQGJ2zE
njQHMSnqFkBz3SuZFCXvww1pz02T+Gntfltw9rjfs0orthg56N6sPNsBL+IIOqVGF9GBjU73zqWr
+V16FI8zrMzP9dYqI8appl3rdi3e08ZpD2PqN3bcbGt9xsihx9DlmR+SZa/5UFpL86ana/oo+aOn
FX8PFu7gGdEFkE07zJ9tQxm2lnvYlMSW3YwtI2ndykGEopHNi5Ev6NB1zzyipqtuSXgaDqoRtGln
Qx312lZPoTPSsLhgu32sbWccYzrdm5AKRxpzS2O+bdptDkkNoqbDW7MHs7dS9eR75djdo33E/Usg
qT64VUTmEq2oX02PZ2Zn7WbT7Kcvxs3Cp9m68obFfu5E5qKOZsDrfG+cTmVA2We4YKbdburV1uA8
SiOpt74dYwtPRtivPl5n0GrrJHLXeTOhKOeYRq3eO40V7+Jn4PpprGvkOt0Wcrdx8wiPZYI6gVpZ
Eycxeg8PExMBad2tFFp/mlF2PK0DZY0NFPxxcxBASgwol2EZ+/PIMxnPwipu+9IpotScvd/N2Nk/
9bbCxDwWKCKOa9O/TLgJinfibAhvhHi/Ct7H0J+2bTdE+/6vDhf1ycXZrIF8Y6QYitF73cpFTwqX
0zkJEFYfJrJvP3QG65tF9ciO2Y87b0+g5q+9bOYg9kTQnnROu3lCe+5ctr5YIrOx+xgtIDilkZPo
nVWTCAk3YjoYdvK7Av6hkRa/jD00MV5n+9vEFJnQexZE8MdlknHXMZwPKlnNUSRz7Z21vpVxx+KO
WLYIDmOlmx+Ovdqnphp7RO2cTPXOWHhIa49FRi0WiXz+rVU0hDpXU7581oEmj5RW3FtrHnzplF5K
Pgn2Kd2EzjcVrRN4Eqp5zm4rVlrqyQJ7Qc/oDoc+WJ1kUHtjNw8lXEFZ5MmC3hetCNd4ClPwY2Km
D7uA3DzKd61YW7hJ2sWFKkDXNUWartHcWVrWodtDadvA0+4FXtKnfslB+ar6ulY4pZyMVmsmcK1G
V5rnv/reta/UuBYctEN2SjvkM9XEwT8j+ld1XkdoippkrITk0lnUI+BlcCfXDMIb+/2pcgsnweDN
gYnP6IKb68HHEhJO07SSv95nH8DVJdJe4GAGu8G/q7RhjNZGrxKjTm3cYoH1ngV0faLpaZuoKfLm
Xeun98HCVZ9L/2g7K2QeJVpfVMNPJ5/omrNqUHpQOj0XoXSwk65tVhMETMsR5hUUXlv94QRWnkh+
W3SQr997nyUi82O1Dcha6u9TKffnbda7ZBYt6pnVshJClYBniyC9lMXkfFTTmoZNRvkwM7OhR1q7
lnUyoj2ZM3sdbju33KXVk3c09MqLzNEubussqx7AH3Q9nu119hOJyu1uEszbpS5p593hn9Wf+nMw
DDWmBDrjkZHrv5aWFa2kPPbU2FSrLtpgPpYCKLLqx58iXymnahBf6Ai9LnCucZ6r/uz37sAFrFUX
ZEfycavy7JAVwyf7GqOYagsEBVvZnPEmSIKP5KTeJCArAozlahGX8Moo9VJowxB50As3uWsthEhs
DI5djrhtGyAUZm2MWzn/CIzhipXFCvPSfCVwrKLM2rYPPX2b0UKhzFu+Gk1oDWMbk21FOtycOi9b
VzmA8JV506r8ttDad9F7RGRM+TOmhN/0mTD/KaajNusRKHXmu5Ub9dmiY/trcuox1rPRQgHTvK5o
MX/3faNtoOK+K0JQD4bvtSchcHObJ18JHUMA7eWx6P30h9TnSoarlJSRB2p5GiBYu7D20xTYibgU
fMi2Khj+G4MdZ3WO1WwFT1TLOgSuWE5H8JFMvRleLxcab0KTuHoF00z2w7IVSNVUllIjwrdzrUqn
vwdzZ7A2Km0XYlVQtRS6120i/dqYEpJX+juTlNoz/4d/ReLSbzOjhKzsODz8Ir8ghqwuyuFyRdv2
M636eTiSEUIMgouDxPNKGLZ6vWyFV/GqG6+Yd1rEJgKhvrljgbvfUAXwnJ7hyv2dYMojufJoOkzC
VAxzJLjrKJcTWZewQcMPqKHLygMf1QXWgSrTrmlAmfBWO0NSYoTDnyIORL14iUeZ+KV3gP+GQJ+w
q06wh2xxRB4P5LXIx6CcvvSm4IlPlZMEa/s42HvySKO8c2tXJv4KkePoo5GRkCntfjFtAvfs6Uak
GhTR6BZRRrXIMdfJQKaByzitJcvZ6MzTuRWZDnIh9hph56tf0uCReB5guHQporxTP6rMADkTyqIk
bSzCUlifqSON58XHnOauahmx/HXLL2fy5DNnnxm6roP8TB/mC9aCq68bJQG6mn2tR5gHMiwKMxn1
isIZt73aop6idLPsOcbaGsyJlxm4Qko9pz6G+9EItu5QFar/QDvfvSOzsOBktW37icWYdDJDVdpH
5zbjvafX2qnkwhtDYt1WMsXL8darWJGIgC3zGJXcZcTTlFiNUp/MWbxaGVQ0BL1/3y1Wet1EPv/U
Cvd3Nhpqr4PQJghpP3jEMJ5GToGTPOoLffnmr878YJpkNN6NWNEx2nhNdwQFbShuE3ifti1wD0aH
7pIsmQITpVkglqNNsD/AE+XsC6l2Z6BGkxHh7PaJfK8XlTnfmBCc5yHNOjSoSpx4D1TijpPBcuW/
LviWSVhrzedMrzHy59a9b0zpR4MBNiqb1I8MzzSpxmZJ124Wk6GG4gug1UHI/IYZQqyEYo5dNJaF
O1/slvMndAUOkmOWLpiHicWliBwsjJmmcY2QQhXUstaC6zQiu2R8HXH63gyD78OjdYhowlkH41N9
mUb4rIx3t6Mz6G7B/fMi+Qvc2CfD5W2uBOWTvZcCGgFQ52HWIn6x5h5SmKcHr2K/iOMytMXt1mMH
iLmwAjSRc8bEpBYMH6ZoBNf8Pglxyrw3lev9sEcKl8NqLsWpx7e1k3D44SafLLUw02oZoWFen525
F4BPWI9cvGAYrntTC15rc8q+nDwr0bxmKbkqYGrqSVWS8DqLFw0z+Eq8ozexeK8mVzQjaNPH0iJJ
l/E6gSJ4VBpj/QaTf+krV8ROP8PwFenwuJK/9FaWTODIAzmwt9ExHqahM4qwHqggnJyR+5SzrHug
pFC+aXYxX6x8AJchDsu/jkoTb1Wv6XfoS9TR7H0yeWY5WY9YnLwnKr5ZX0YjDW40LTc/VV1UFzH5
8tk0LcDQ1Zx5S7uWY5UKc781mRmxcxXOVPJSLjY3FjF/JdFOY4A3DoRfcJ/g6a1vSoPA6YNwF4ff
dFMmmP+yksC+6YG4QbSMrurNxAKGetE3L7uUpG5EbZ2r33XfGO+pMTGobS6VkSAd410eBEVGGXYx
vM3ubobWuHUzLPJc9hiQWHaKhADv8thrC8YboNGbkVj2s1x0kaCbqm57o20nJntDv+22bvmGVFgg
BlmLJkZybUfuiNjIKoT22FdDf+eoxT81uZElk9ywUk66HVk98TuhNi7i6teN9R30VuMSW/oXnfnu
duyGhZAApn/gTA+URsufVF5K/PwZnDRcBoE6U3OdRfBTk7QlcDil2IAcQbzhZlwDyauBeJj8/sE6
d7nhP7Sru54X5ciLq3nbErppHduojXloArQWLkULE2rpK9rM6pbot0+yAY1Epko/lL76yFSTRybx
FVGKaRXDTtqAlY3qVSuIC/Owxye9uVmkotj+MZdIq+SoTExoHZhNV7XKBGjb4txajdilLiakCJ1Z
Vt/G96K2VcSqQBTvuLqIoo1pfvA9vLQMevjbW2c3W61OXmBc5LIpnaojBnCT1S0OpXhxoG/AWA0m
jS4/GJW/hUG33ZH2xz/XU7zQJIjQXwAOLKvXYDK/WxmHtaMRM42wLQYp+QhaXFxBBuGxLHkWTxo5
jvi1uoNpVDbl8M3RzsqnzUcR29mOg+ZE39CYb/d02Vkhwpy3fhrKBzebT6lmnhisxFEiO/+hrdAg
pqV934v+DvrGhLwOWnHsUcISFzJ/NEE5PC7z8Ijcs1ah3vlc7ca+COa1dk+3EVknupmfsSWZt7bU
vmzNm6+dSSPByPkfFtBgAD2B/R2JOoEczXore/y8Yz38RxX6Zxjrv6CtCVp1sQD976rQ+/FX1rX/
yFv//Uv+zlsbBhQ0ZjKuuYCuC2snp//Sg5o2WlHCqCGi9kLmPQLxL0OR+4fpmgFf55FkTuIM1Pnf
DUW2QchRYHtIesijRy8a/Dt6UExI/0xbI/K0HBfzkrOnJrHq/I+47mqa6S+Zg+KhrJCbBxEaSoRK
Y1a590Ha2/aj7Q7kVXc1u+0hTeHnER/Kwo2qVHbLeocYz0COUe05/6KohPWU/5kZ6qCbIkHIrRDR
9LKliwy36fIg6kH/ImZjwajhTS0lpJwfnLXmbHRZjrkXOkUeu4ChqOECujRly8qQtVynwc4UarvJ
khk2uzBHDYRsZKQTUoH3hCU9PWYbLk0rqAkaIMtgDx135xnWmjCjcKt7yAPGOu2bh/fT302gIBVQ
FLsx1N0tosVuFl1326gnnfkHZn6TY6RHfjm2bv40/s11Ou0GVDlvacDNvTRwtD3fMXDYBro7kTDH
KpSTd5vi2pFFFolscT+L3f86oSwr7xxz1WKMxt59Meo4Z1WxolSrXQVB7uU5M3xA8zEsK3nwz54j
9rsw7dV3uCGSK/QAokutafbs2SiZQsDstCIuJJfnwk3JZVrW9Ts1PKwBrr3qZ1Z/mQQgUC0RiiV5
BJ5wYaOhkvo3zlzsEtlQ0kriyeaiTS2Qr+b4PVNNuuFarha2Iatm8f1v9s5sO24jy9pPBC9MASAu
/5yZTA5JUpToGyyKlDBPgSmAp/8/UHaVSFdb7b6urtUulyQKmRgCJ87Z+9u4hxIk6bjPWxq7iNTV
xsv96QlLUePd8k1sE9jCUOgNFZveJGbvbFuTlRVUT/zdXwzZ8WLNZkTR78aI9rFokn6D38c/NzOe
pVVJStbGnrrqnFE7H6cKKZdJcXU2FlN4SfV2DF0fQZpaTONjLa0Nql/M5G++8niqihgh0YR5ZteU
Rn1yIzOdrsyyN/36SPTKyCBRAikK0CYBd0FChZWuvnWzJq4u5pLNycp04CGWqzhAHrjqi9Y9jSF4
KMhLJc6+pZcBy4zGJWePOQBUitVsDf59UZfJuPENLevHXA0+49+qXTDJkgwkZeLQXSOi9Vuac1EL
EhJ9qTx5dRS/Fo0/1es09zOfbepUGCdm4BG7j0BX160RJKeh7OJLLyxHJoixRyB0O6K9xjw+Xeho
igUS0OV9YOTegpdBiQe2ymR+x+BuAqQxzpHB+EAV/q6MkuSW4De0qXEzEIlSgSXkyQ5x1zI6nZKO
wXLVj5Bk6mE4zVBKm41tuM66irmam3oo6LGZEBvmVWqUMrr1SjNp1wqeg3+FmmBkYCnMvcp8OhUR
MULcca4xrFO/Dja54SfXBvI9GE5hSFEvkNGoDQyt8YsNP3TfIZCMjq7Z3tHXTuczZrIXY5Ylz5RB
Eb9GjT6J665yWrSfTVx0u4iW6hcdVibD5KmPH+Y5sBH+hbUq9/winC4GRF13YCWa7t1G6urCFgj0
8PLntrenf2UzTAaMeOFUtfoOjOmT6L2lvSfa+R5e1FAfxiy2qgsVTnoT1AYujrY1idtO7bNbjjyP
oSvTYptGrGaiJ04om5p0P2snOKbM8iCljIbWJ22NuPsccsY2HAkIYRC229yKQqziXCu2VjWOZnt2
nTNRv+awc/o433gytS8rD2qHE6SG3BrACeKNS8vlAYhmsjGd3OY6AxdJvzLUSJ9TREifHJUPT0g0
BoWVkF7NSNtqIPSZAq2wPKO7QOzurnOnT9utB5xTXfIHXJIpSeDIYQx4NYwFL5iL+Oi2hrBRB7i+
qFEHTzleOhTYFIPsMeAReCpy0LWgWqe9h8Y1BI8a0ZUVRe9eVWXd06aEavpgMSl6RG302eUW7lZJ
qxGmSoqaA7Qg/+wJDIMROKpNZ8fNBcGAvrkt587e5oaAoFPpUd+VgFqu84Lu9qpQfmFdQdip2B6j
2dwHTeV8aTr9JdIahlhHdrsFWS7MA6QLZteyVUl1fwVHwrqeJ6u9K9KKnQd8Jh2dLT2ENAhSN5/m
6VA4DJdAwLpgosJj07JqXLtBZv3Xnv2/qqcoMdy/rac+P7dxUkbd+5rqjx/7qaYiDo3RqgjkouHz
39VUP8qst5rpz3JqsdcwZ5cmPwRzenF1/1lOid8EMH3yOgEz4ozj0/0DGeB7c78bAJ9k52u5JtsY
cCYfExkoPpreaHsEGkNezOsy0f1ZkT0BSmls2t9/KjR/6bZ+Oxh15ZIiI1281uKD2zoS2s39uHPP
sTHVT6Vb2ShzB/mYJcwl6USa9RNiPvdZDqk6/B8ODRvTDEBxY3RaisqfQ8OMzNId85rzLDWHlorV
aZjghG393iNdm+0j0jJT2c66BXf/q1Cm9zXr8s1RWdro1fEAc+E+Ht52kqiUYCTOeWFQDQbGwKJu
gmCpUYkvh9NFEPwiO+5DJvUfB+VWISrN8iz/o3GqrLGtRrW0z8Iu7YfSCZwLG01cs6Pyl491x1zI
TfBjrnqrp2COu7579eo22eeGx3locEzuaz9K9QFaWxRu53l2nwFD01ild2lal0MdMipN5opluK0t
lnqNRtFZ//2l49mo/w01/fE1PMdHYGLzhnXgpr+7dMEYYL9BPX22erpOWZ+7FzrvMw3OmfdKnhDm
rTPRvv79UT+6zpYrBhgA7W7Ag8F/vz+qZyA41UJZ5xRf/APzroSJeRl/N1NN28qa9Z1AZn6NIgZR
5RT3/wzt8fatHStgssB+ifvm47OCBbRkh6Kts2d4+i5ZHhga5/o2GhrrF1FXFovJxzPsWKA9ACty
QPEx3jOc/K40zd46u4nUdwbd0Ww3JKghUes47SvbC5DZprc8nWZRrGt/5GExUl+zBWNm+vcn/q8r
ku84Jj4/YfkC3dmHRcJ2jUo2Zmie+67hIXEB+FUnepfmgIs8k/+Hh8Rn2eO55D/sKj/wKYCGmYnh
DPZZtfTcGP/kGKEiXV32vlldIqVzGfO0FQ3bhLtc5rN1jdFBM8ZILUjaFo6GS8Mb9F2EuC0C6GcH
J7IY5dbqYMvH8dCM/K0pTxltRD0Sq2P2+Y9387twgHeMmv+wvPgYl1yqU8HW7y+5aHkU9gEy3HMY
pgD3Z1+pw9t9o7uiflKqgGsaYPEuJ05gQYt6GyVzjktpks2hngqKm4S9ab6fx5lplhWa7WuggJT9
/aX9Tx8THTwCdpcPK8wPT7JBV3Ugi9Q6i9nnhLydZqtW9ZNlhtZDk6tf3dlL1+HdnY2tlbuady6o
IsT2H49YdJGdmtnUQlZ0qkvRFeKZveryD4diuzcdckkcD61DmISh2ppDGperEcHcfQKAgGiocupe
HUwXt6nJCmAaPAQJ4Ub0trgn3k4R5TUvLyuJ5akd/OpyAoRyMnCFXNg0Gqne+uoXKXh8g49fi2/C
dXa4c23XJ9Xw/eI0k/QKgnKKzuxOUEvV06w2qW+kN42TM/EoUVeNbGIGlDS2YKO1ToYijHeS/Wy6
yvm7zfWka7m2U2xQZtH5u+Ft1xUDd7TWJRFsDtRRgSAKkTrCQrjAxifGm1EHEbaq4FG8beRc6cft
hn00T0a67PJ4BSwbvkV+6kL1P2MRiy+DtkhPBKhV10Ma0gINKmWingS2+8Wa/AxCxJS/mFlrbdCB
02+3p3mu+XxD/DqJavLwZsblJul4fx9NKQChNU5a38JpYZeKhoEdq7tsXoWPP341+L5RP/Zlno4b
J/T9eylh2q2alP7QStlDQzUuIjaE9LImtfY6O/jaGAzVALO2XXaYNWX8qul7V13YDda2ixCEy8mO
esRI9RAewcnI+2kcLFRk5EGoM5kTbMRT0ZUCkZydITOMo7q+9aMiR0Ig3TjcABeTj1Hc89rNuEd8
FOhsWSqcB4RvIcWnNJBb3+pmPl0lxDNyY8qEMmC1oQRkIR5q3gJtMvFjk08wBy4y5lVBywBupS22
4ycm7hlQ7dCifw4R9kcTAQMtHQUodM2JvT59huhH06Fe8Hb4IOLrIZPdS4AcHb20HZt7M8G0L50i
ulY2LCslGYM0WBBG05y/YJJMjmQnsLWkDvhK56Niote0e1Lswh0d9er3QsLkI21TrJo3Tt9C7Iv6
Bd43Lxw/s+fyrOOwK/cqqgWGYmB/3FiFCaIOXjkcQJwVcGdgA7oNmgZNd6F+oMMDO3AogxaQIBmm
Eqog8Tym5AbIp8rfFBiYDfJp2fktAz4X2L/Nf6OytAWDODcxrHiVTEi9YS9klqy/GPFATEEhs5Tu
9dRMRbAzIMHs81noO7SMnGmY1dWlGQUUQ6zg7jMsS58eUT7WkKixzn7SBsnO6JU7XgrknfaIheWy
ia9YK5KJu5LGjMXL1CVqwFnTcgVspFquLKRDLip6dmNtmirAgDhye5URco42G1iyExfdph/M3XoG
rPscihGbZGJSr3Z5wGpUjOJZh7N8HG27fW3n2L3wlk6A4bIO+W4ht4WK0UU0PKGgKguHv35qBB+O
HUd1SVlH0Io3oJmeiuqSlCT7oTEXvR2SVnnquoH1meUM1W7uStAlltXxK9GMtGU1JBQ+NsprcHw+
041dIDg5yl5Qu13u8CdUbKXXzPdYYhCtBqeoKeRJ+pW++6OdYbCivq2R1HDBKRS8RP20UQh7gva1
kcuplMq1Htq2Xygjy6ctUCSlCDdcfVtRdtqgb5IFq7fUIlmOrOGmRAN1iKLBuqaxaV0PLpXhZI/W
A4JUuQVPMd31CdsNJ0/thzS0eT13uh4301I9klsinq1i4kvxSHKkLB7aVyw/+i5d/o0BEUPgKKX6
NLNBPAO0llvCyNrXOudt28ioeUqzgupXJ+1091YozFlTTkfUON6zranvSdng0jZ8GG0H6Supdjic
E8qhi6pZJpUxjzTpFtCisWdUJ24jrp29fNqyanjxtJU6QGnRd2ZqUoRXEF+2wsrqJ/wqvM2nzDbU
NoQy8Oy1MxyYofKQHzet4pPjK6KCooEAx74xFBKmtwIH9YncZvB0X39sfpyl9JlSWkSbXEwu8maU
4jRR4VS5V6OYglOMLQVKEE2bPa8dPmBt65RYFQLOUjgMVvg1N2IOXr49QlYoUr0btFrKIN48dOzG
c+CO7SvwTq5RHQYUd/xPiftGbUtXsLYRo+JcgO9J9tZkURjgXrsgj3G8LluowHyd6hIZsHeHkhfx
Oc5HPi2mA3UYR964uIWoy7GVXZtId9GSuz1/M/prgtSCdOqv6jEiDLiIQ/aAlke7B0bLHIDa5P9O
eC25gTtUbPzTCiQWp8R/SLMAGVTXmMnesSX3CJIz8RwXI+dUM+VlC7AsAlnu6LspoWO7zrOEjukk
nItG8oTV3nL4YuyCdbo89TkuhacUMcaljLiqlPvNAQAYVxVKDb1HXuSch5ESlJCT8NHAUn+rp8h7
RuTL82rmqFztBHPPJhI88Uq1fJK3O9HVqYVQMWEJEBY1+tZSeGSpaRusdxLkDvTyarlAaeOyNNlV
2BwKZcnHBHkurSi2o+2WATRFkR3gCFnZY1TcT2YqnkmMsR5sI2APwByQV5MOrIcR/DzZKDZD4RXr
vMwZD8j6yYtqqvfGGvXt2zfkTUSN3OKPA/KlEsSZnGzIj/XTTGbywxCxRSWWJjNXI1vah77hF1FH
cFm6pUqbmZXkPyrGt9fmNJMVBZfboBUaxHz3WdTyVNqBsWIEUmxU37OTWc6aqgctN+loQRpSy8eJ
Pb5FloTuc42C1CHZG/BTnpU8VsDUQqAcs7NDM29hYG4jlqMk4+GyXZDbZHIrWFUxtzz80SzUd3ES
eg6oX78BlSWQXwnZ5+JOqxGpSolZCvGXMsWzq5eVhT8tH0ttsm2FuHuRNRV+NSmDMcfp5vHTEJft
5t4ybRLl8zDjRBNrZV0n6dvap23QI1VkschTikTLlhzlD83xgnvi7QT8WIuWjTtAStaFZWFVkc8b
5+3eRaXBa40APnXQfjJ9JUc2PL/dny46uH1KI2A/lI2bXfl9wC0SmL06uCIbjnE04UT/cUOgdw6+
13j1Bxz9gzoYC6Y5Rxn7HIHYe3i7KzwSCmeMeaF17bklD3JTWtepWLoNWbsgoDyi6kvm6iUr0TRn
BgxlmyaEEmkyr5LlCxkkhYLjAM60Vu7I700UQmrDem9dWy5fgVvOehCxV40bC1p8sPbDhjeMT0rL
rqq5afq0YrV3EutG+Db9+Rilyco0LKSRHX5RtNI8X25GouOmCn1ONkqv5fXdpZwlBz0yzSBeQDgc
I2diyjB0LApEBg7hrjECyXLVL5827TseM6eZOC7uP31XTK7yVjVbtUepJwo/waweOfXA1HC0QZZu
UmIQ0dxSC9G2h+ikD10/lPGN1aZQvsql7YsliE8hgo4jYKzkbjetcFYPnegpQiIjk4/mWMNyr/Xy
fX053rqI7O77QBc3TE7BwoTGOkP1dgBvhbFIsbKPWZR+j/CTrHy7YYaCT5KUtMrhAda8HlNmfM16
SpAsEoDRSSqUyXvM0onznNRc0EqMM5alPoV1XoLKgtZbdchfgaEmdZ1eOWQyWmvemsUFO3t9KNEG
TEumRomPx6m+S51TL3i2ZjGkyFxQZTYzSK3bzjw2y+J/RCNOI1LGMTVV71bsYPDqXxiVTReGnk2/
bnKgkvdRilKHSU7NPxtpcZIcMetbOoAjhqwRkI1aFv9moMYhXFvfNXEAdDvqqPDQNKz7hgHH20Y5
y7kLRkfyqMq4KRnhKT5eOPs0m7AAjRs3HPmk+u1lEsas2zMBBxmOTMmSlMmacKnlHW4hb38Mg5A7
6G1jGJlRWR/zPK1Z8jrWtAqKUXhJP03B5KjkKZGRe7FMBa9JXpaPltG1r/aM7xdHAlwwbidnt2Tl
6R1aM+7WImK1mvGkPAwcef22bso0Y3GUvDDBG5U8E/lSb9ahDE6FQoa/YTLGGg0S4SnDELSqOtY9
1fAIdTk3TxIiyjUqsfMW5zJRvHgP1uzt4oONguWbO3hmi3mr54nrDFTHImvkyfhRYTT0SAzezAUy
UfeC4EvTv2DDprtDy/6G6XKv9lXXQpdfAmDZq3Ti2cxm6wFfKC07IVmV6PNwSnxmRfSaQpudROHx
YvGGyXuI6VhjNQKAVyOtvlZztCwHbyWzMIvvHuA0XIxlYe6irADf4E2dvePI8UOsCLjQsbcw96fk
E+aYbNPyhLA6s9uZd7wQFwmqVyB5n9zauFVv8zrKaWZ3jnL0wY6E8dLXjnglj2j+hlx6wKasW8rt
MUf65E32pVW35slaBoH5MhJcTPYKbekyKWwaiDhb0HrNUTg6uU6WeWKUesln8sGie2Kz0dn0RT5t
smX+OAViupZOHX6KDT97qZqJvwmXLqNKtMiMLee3EWZuRiPEiA7nxAogr/f01p35L+jhF4qZH/na
/7NgBjNcpZ5f3zF4f/zMn9Mdk5hj16GzLxwPPllAf/VPxYzJIIcJjkcXfsnYXjBpf454rN9Mi3VY
ej/mL/a/FTNAIJiTQIZA5kIL1Ppnipm3Bvm/G+j0vXwoIEhwfDaqCHc+znjMIq5Rys7GZdCFTQrd
n4pj6r+oQbqlOqZm4WPIIfAlAMbuM/pJxAlBClguYu5c4ZNXANe1ZtItwyBzrkrDJhqNuruL6S7g
0MpV0u6xgIIJ2KMSF0RaiWiEAbma+dUQkVkzc6xPphjGZkbN2BcQ2k8Wdine/KB+4P3EgYFbcfAC
GPMOOpF+nTkjvX2M4eFgPiEYCLt1he6vnu7TZrYsynU3YhQLprWP5U2SdPDQYOnkqyKwjWIt+pIX
d96rmW4CGgwkJxFQtKBe/fepKbukm37x1CwdyJ+6v39JEP9/+fPX5+L5Z53Zjx/546FZ4NSY8SwG
gRbZogwg//XQBMFvrs+jAXvaZm6FTuVfD42zpIb7DFWYVLieR6buv+aijvmbbbsOD6HHmJX26D+a
iy4d1J+eGXdpSzjLp0BkZjMVWTqwP80LwSbZ5Ee7xkEaBqJd6qD50Eu3ffjpnNz++At/7ty/70/z
MHIYX4JK5GhYiRet3c+Hma0Wg/48GId2ptuRVchUnd4MbopxIHL774/1vvv+dizJcwHohdaxx6Dg
/bG4FlAMBic8TFYlb3hZDVcsW84R6Iq+rT0cTb84IHPNv5xFnzR2Wu+sfpYDVPz9IRE9C4JiFVD6
SRG3G1Isniok6RXBCPQ5EQjTFiVh3rF3Zh8NDuaRPJ32VPQgQhoR9WsxAH1a4XlmFLkUQbJawNyT
VLh2SbM5NbKVe7T+cj/O7CoLXszrMtTlcVJWcc6zXDLNVN0npjHlUQ6q3hlhkVyHU5dco0IRJUm/
ZbyfGpMKNmqnbdO1xRkN0fxNUts/xpmrHv06ujL7KSFXKgeQUufQem0nu3Jd2wvWcer0Z7vti++z
M1c3szOmn2zaqAjmw3xHenBJClcxrPuqHA9mFVabZm7sfTCgXFPNNG4BVUO67Zz2kg5wda2Av9FH
y5xnM4+IJfLGBm+vMR6aKYfu5moZApUx7OqFCN2CGKdCg/Sb455MiRGdtgrcndnaSJUzQ47ZRsfK
bxvWwDEa26eFhT61J3Rk5AeXKFfWY8h9vqabbtY0B4vya6/oU7LjDD6nMrPvZGQC8h7NVr6mOMKg
yUjlk9eKtR1HdJpQnrKxobEYOPHXLM6X6JHSzW9MwovrtedG1cnvxx4QQzk+QtKCOBgmamPbOfde
iih+5SapuEkc6y7WiYmNkJ1I3Ehv21qmeip8knsrbXa7YPBoK2t8Kq+qKOI9LPCXaaHqRMSdXEYy
6NEizyIuti0nJ6axc9UgavgMGck4O2Uyn8w5DGAAY02+8MrBNDZZkkI8MeAZubz2sG6b7mEYyxbk
XpKdzDTqX+lZdF8zC6Hado5wj26NLpFHTkG7iUPvpeny9WiN6pruFr0gP3+lXYFgPXMhYyO0p4/8
SbLj5Sat872By2I1G4VetxofTGW7Joj0BFRv3V2mhnIddufI0DwzSJ8RvxIyY/i/OwSLARny8IFi
w7wLx9w+IYS6FXocAZwEvsutzdOj0Z5fsXcgRdMavmmy6HZCGd1VZpfz105X05orK77WOstuElna
m2zuursG8su67IK7ppHJthfzF6NXzrU9EyjMLKa9RoE/b0cJh7ssJeG4lhzwJ5Owgu/ZB3JjH5Is
GAdiw6Mhnl5wzWOmCoe+rzYec3rQEFNQo8Sc23TYZFGRiS2e3wkNaN5Qo9P9mPRFLk1U++s4akxz
FRpEHz8iHGTAsngx2pG9iVEBy5yGNn1wVRpE2GGsVAfD+OBPHQ5UCz7BRkxL4hkve9KiBH1D9vIB
MW3YFz3/i8a3FLBDyGxxwRCUkVGSG1MAkKFNACtHReexlUB/eDdkgj/p1MkQXSMmxrtXFaocbyPP
iAJnVXtNG1/KkPEAXfJwFE92HfdU5Wa5xCGOCsz8Y9qPhtg1Wgr/FQ0qFyoG32McoQ5GvbrPCsDg
kDBlmz0Zos7u5UC/U5kly3BV+OIwmF3+6MOZUhDPbfgQY+85R6GHiibCPIykahmx3AtaWMfRJjLN
0loc7ALhwkoDqZrY9kradTFmQyKvll8mGTa8n0iqfPFsrL1Yk0oiAbKl/5xrjtu7JTuSRWDB1qY8
JpoWdwc8psQxBG0L1gd7Zsh+7BH9wbd2lgfDluqv3NJ86yBymtiFjSkmRxvd9e9a8W9NZ5T3c2uG
2PdLo8f/M4zFWTtu/c31GKTyQZJol9kuPVLA2POm94ALbkmGry4CMotuyFX1nnOwspio8sHaha1f
MHNj2rXOgoLPxkyW3xNGV3y3A5U/OsBXbolU9+YNmsDqPipiNo4t8iqATyAzkXriJvlvFfi/qQIR
Ncm/LQMJUCJQ+X0d+McP/VEISvc3F3M70gs0KARiSEqxf+2eHMo9yjzac+YiTuO3/tg9Of7yO1Ro
oKt/3jk5v1FuCEIdOMjyc/8ovESI98oY5EZLbYYayuIT0Ib+WAYqQLNYkazmuOQMAbfKgbhiOHWK
LjgL3j/VhcCHQx+TZHmxzZTXG5/iTqSvED/Bq0DeVPXy+BQyCWmbEWv/gPo8vwwiGD631CTq90El
/pPgxXLEdJVfgmuzN9LI1IZhQ1IcSW2jYQbyDphvWp7SujGqpzKuq6uBfNp5T4jyPmI9WEes1/Wu
GEYln4ZkcoJDYCKbVx3dhC/DiMn7dmKDugFmFkMUrjp363hwfNYyqgOyEToj/tIj/SsOlaqyaFe3
UJJPnTDjLtoZeYEPDNJ8EutVAeHKQToduxS3OwYjc31d8Xwx7dSQ8Ncg4FM3PDBBcJTeFuR/GsWx
RNRI9t6C47MFi4xfhNewdUJic0MSozuIKlPRj4u0TJrwrgcWmLUVh5b5Mo55O87bLE4EuR5Z2YpZ
QVir2NIVP/Z33ttmr3zb+Okfu8A4mBvX2oi0dud1BoOkrNdMnO0Yu36A1XZOX+dwmlqRrbsimsRm
iKoEC7PNK2dvZzpU137RGRcmjfxb4i55E0vDwUgCeCddcqxjIAz7SNQ2IF8Pg7/TYrIaFkKHlY80
1FBlPPt1mm0J11tM/xP2wYXsMSyMD4URbV+1bnFBHmK/z95gIM0bF2TIF/qpXvt9nO2KhRziYH+4
ETal2hDnekNFBauoYw6RelHFzkGGZ0VP/nNYGrixMkTEvCyH+iZPvU9sKaKzEzXt7RgP/hlq9vAU
FwzwYRmER1XH+sz9UO0mXmWkM+jwFj0+WWJxbdhrmIDEbfh2SNM98a+lzMLHmHbzgd6acWPoJVG2
RUm5G3zlnHi5UOCgdJrhMMMXf6ybADbNgmJpPKu8byedwSIL40iv4bQ7ek16oa/XFXqPi1LZAPEk
xfcWwEp3MWIU2495Fj1ilXQu5ewzfbFqMT64vOnRB9QqhACSqfy7NbqEsTg+Td4VzqdyS9eWeRz6
01syhfwLNYqHtPE3JEBTXrmO9k8YkyPwUmig0MOrfrjpo4iGntbVAU1uv+rSiWsNCVGd49wrH1Wr
yz0++/rraMefrQVwwxg+OHKlC6wNjrue2jq4mqdcn0OvjY8l4F5INc78pXfmolgynu2XFOHLpTGX
PrBbsBHHMddy56b1t0E24YFdFMRNDc+O4OX0XmZB/8X00vzzRMjHZ2fsErEWTZB9bmgJbkaoaki8
OrU32cRupQ/mJwGMOFYptOkF/5MqBxCQLMVx1K0cwZplNGv4WeMGbgfmIrH4kgkGSG7LMIVgaNR4
a6qICMkB5tEqFoFGotAZ7cY1QJBUY1+zVwBVw3mBa+Dn8ToyzHUNlOeIEoOdFOkpjy4ptDedoT4l
s7pPa8N/1aKiHsQFZGYrMSL0XNt4Bx58pHWXhTmFJ7NzIXelLaO3JLpgk+1fLY5mHo0epNICVxLK
rF48NsYraArVLS6i+Sv9e2AnlgF5RhZjTV89cj9FsSvWHoQ7dwWKG1IV6qUrhLn9UycM8B55tGaq
RkBeBmeBDBl1ZMIJ/ANj5Ld8ZLgA2vDEKIxIR2/Um3jonS845JODY/h2gCZ6nCCj0cx1M29kQNzZ
Bk+cG5vXVgMIWZHwgXndDHAEpS1lUt1ZjMZ62tdDmzBayMOEXQJzY0S1NuqDu2p0GRZn0ejcg7wI
vmZjwdSihy7prN8kBmEYT3do+4NTNZTiuSdR9xLJk/JAcy3CoDcNW2SVIYiFIG6Z1rrmlU8j4GGC
+HjtE/850XFzmJE5kCoI7osvqiIYEiBsFnoRy8a2k8AXl6Oo4Czql4Z33p0FuvsiMkJ8Vjgu1lEa
thciq0EmIsA4GR0xSuQbBC9upcT3ynBfk7qxT4h52m5NBPVENicca0YwPORGdjXCjr+STpadYhMe
Cdasl9i0mxWRlUjFtP5UmepeNzMMfkuRkR0ycEnwbewS4s3QJM3y3FhkCSNMJmrabcf2wAz/Os+G
aAc2OwQQrqzPSSNg4UcCE3Djv6Tw6e8aux0xD+XVQ+Tj+rNiVR9HdBpbpUKRX4mKuEfRlgPmDzM6
GOPiWPcKr9u7llWduXMLsIGM1lAZq9dGg39f2bWVU/a4wWOEmPHIJ5w29lgv8d4kKIAvF8Utsehi
ly/wN2vBwJm4WzZTayYnhNT+itkn7qFe9xu3192TrVS8IdixRLyW/d611te0qbM13iDQc4RL9ytv
gdK5QQMwp63Y0RcxgwtHt98tZ8i2vTX196npiS29ErWtItK33KAi7VEZ4X2yEPI80wcOIIkbmNoE
4k+UOtY2fYPsuUjzmFHHxgV7dHRHMdSM8Ss+v/x3og/JgIaO+FosND9m7lzXIPgdv+Q3lSXthYP/
em36WbZpBP8W0rhbTQJS4JDADDQRy2zQEds7u0sssARG+iJT2gNdHht7Rr/GykXABj+GToDdpsmu
7tLmoqcg2fYNifeQTdudr6m8DKj1e1gVw2XyhkHMNTEJ3cJGNCc0UnrhJTqYM186AXCDz/6Q9JG1
7qfYO4yDg6pCXM3uWB/Khb2IP9LegQl8acz63PewDkoiDMASzXuWaGM14YC2EndaxTGs8iSbSWDO
zSWtu7r2a3X2zXaPtRO1bEHTpcgYzcblXWB0GU65OdqVtHAWCgkQjwR0gBvHx3bOF+JkfuUUhnEn
2f3vc6+XB3cCnzA77Giy8nZSSbxD6YyuqjIIkc6nM95Jiy5Flu/brq42HdCtDR0VpAlxb+3LwZlZ
hH3nhlYDdBpp+A+gKpPDnIYV0ivrWxN6oEanBZWJ6W1lJ7XgRZbFvA/oWo22JV+SYmq2uMdLCF7G
wdNDieZ8CHgZ45zHVIqDTtb9hS6UPKTEojCNnoNj0U3nPBG/u6H/6b97qf/NXspCFf1TR/c/ddTb
7ENDffmJP6dQtiTT0Q48ZOzo571lr/JjH4WT+zeQnWxmsNywm/nJtu1bv6FW5o+jMRYo7hdjyh8+
I8FvCYw6AWNmlOW24/4Tn9FiWPqpob58HHQZoDo8C+M4rcClO/1TQx237lQUvel+I4a3Tr/Tlwsd
E36BbTTkuHSpPT2meZR0u3Zy8gLdBevIiw7zujwB4q4ae1cbLm+FrAkM+o6lDM0wZvaUxfqTMrHs
0twC5T8TmxwCDzHgag7NkjCZ98D7NyhoWvuGXMPahytmQstgn7bownIanQj/3UkmvI/m3hTB3mmh
U9FppC0p1RoyohGEu3JIW2CqMKGos3/hebAW5fu/xw0Y6dloLmAl/h97OyjK92cHdJ7FqHwW3+p2
HJiFF2QoEO5LP5A2s4yE5JDaSsrie+OpZHpwFwuPWtt0nfg+pTVG+sdT+D96Cuy/fCSfKgH1PNG3
WP6l9eEjEfYH+b1V0auVEy98BQo6yo7EuzRoZJfEIZJ6GBwi9EQpWQc9qm+NthnmEFGZz5Vup4ae
c49b/UhjtDXj7RxGM1TAXHMpth2LC9115YWG3noIJb3rmaKMP8bMkanBCqhJz9vkpwfmP4xb6Bf8
fJp9k5PMIITpkYDKz7Pw/jSHcaYTI8vLb+aIEvhelIlR3RV5WM23f3+gD+4hDkQng60CAxQ8PBzv
/YHgcDVy9nT46nC1mVXWiLnIgrFNnnDt+Kl7Q+CbcGKImiI3unVtRf5wR9eyTL///Sd5P4Jxl08i
mPvifwhI0ZLeckp+eu4sTM2m1Kn3OsCH9q4F6N0ODFBhYL050tuegcr+/RH/cpKZggcsJczvTJ+z
8OG7GxYvpCr3nZe8b1QFd2WqjQFkcMB+e/zFsZab8Kfnhm/HwuXSN+KGhy7if7igAKHyrE6E/aqt
CJ/+N5sRSQwTribX8xhVzXKKCabue7n9p1+Sewh3iYefR7DofhjcoX5tFdqb9v+zdx7LeTNZmr6X
2aMCQAJIYDGL+Ty9EUmZDYJy8D6RMFc/T4r6uyWqhoqadUd0dBVLlAAkEiePec2X2Y5QdkbPrwz1
fYy2Jqv79qVeTdHMK4Q76jIG8112VPSaxJI3jVNM2q2+Dmh/VvKE8l/9WJJTdUZ/Aeml9maO1tiu
LpsM1Qd77+u0WJ/yQbaYilUlARFQE5qv0V2eB5JqNdW1W16SPPfhchonz6v+xrf848VgbEsrD+QB
uBec5V5FD4fy1Z1du/4CgabnLugSFPl37SwW7ICmCpDTiRH3V/HfFuvP3RfxVpi7Aa6gsHsdtmIL
NRBUM6zPq09tA6RL+tk4bGXYpr2NIyuqVeWJz6SQz3C9QDujC9T3EdoK0JP0Q1atEwo1YMVW9TlB
hDM6CDBYy4UPqA9g7tuvlu/i1QbmBqX/4zNBuftPghI4iRY1gr75jIID2PgN6kVqvcXvrmdTrQsz
EU2q2Q4YPYk442saas/jMKhxViJYRlDply9swCr/Hgw2K8PxB+gUcx3Ha/LvLwEYgQGiiz+PSfBh
wFgTKIWuZMFO1Why8nbqXgUcw7VwKEIpT2MToi0Ur7igu8xleBenrZo/rotJITZoLyI7jZdzLgjy
EKOCLj+4Xod21KZLp8yMk728+hZMo4PEoEDLcb3l84/8DyTabM0eTSjuEfJdVMPjr0fnA9pLbY4o
WDCX69OqhNQPuu8CfT/k/C8TehY5EcRk5A3vzE2hJ3cbaA0ZNma5aC0+dGZ7wD6RWM1zBCYhDQW1
vxnop/KbAeR6fiUL5FAFR1/PqbpTCM5xmC0dOn5qO/ToLywII0Rc2kJFj19nlmuuZiV4TlyDEMy6
jx0AF32KPd1lV6UHBvI4OXSHLtLOWsZzajokNbZzGJvIl1H8LBchNvUclnaszJnZhbHL19aGDJrR
mkIgGQ2/nw+A1XrKoyImEBkvXEA7LKhv12y/YU5MECsrhGCqPZ5KAf8BrGyp8u3QItL3z7/R0SBG
4CWL/SzdsuVQDNgImtOswYhWCJee25TgiEctz5S8rKpXFBMrZ2RU+IVpUugG1lhJWyUt2Mhckf4H
WdvSgnYGe7zIjscj0Jvt0uCKmH8XRVOzafIYR7f7Gr0sKQ/IvJrt0vq5yzel6yhi1yQu5AZM+bAD
529RV8byoBJVhOLc8uZs+dJVSCLgwDhrAJxbn8DoxO9C6i/WZAWXXE5nGARo0IPo85jcLXdmwZ8t
9B/NQ+QRXKmrTsS6TvaN1Zv3Ll1NFNj3K7wBpLTd2OzfHjIJPzHR64Q+jwaN1fiuQcWFTwGEKxat
vHkFzhneWKO4JYwJzIWmMTf34kUpGJUt5j98gksIWZdW7RoETJBBe3B7eZWFJm8DwFRk1wMAMf9D
Nnr8sI3EIrmtnGYjz9jpihUcqbZZzhUxMf6lkhTQO4GposA6IO5qtqhJrfVDG9b8/w4PPT5gmdNm
vyZ1BA2696aM73zpl9UEjxRqzjN91t580h7AiWZHVe/wJvyBvJGhRUv74EEyrWUVkCJsh+WES/uQ
V1e6pP8haODQ3gVpSi5mdjWik73atUW0Ov5pDtHWh3ZoP0SpnzGfwFFemsiUlil+7oHN8BnB/lYc
VLEkno33zQqnIdF2u976yzKz/cMBBBAiy+idLzWJwtQgx+37usAwl/FnhxhTnIvspnFAzg8ol43m
DdeZXrB/Yf4zaOssG2yDE4NhopphO5fDYE0XBVNC7jG2Bt5N54Ugkp/rwal5GJqdS9K8ixhpejVz
iyaaQ+btmYfmOoGYcLNXIskXcLAtHg2oBpK34yQOn0ylJ6wKR5/ecVgQZoMv6wT1iSrZoY7H/Tin
fcsssk/nNEU+uaFGl9dqBqPC5sG0wexEVBK79lBga8ZPeCsP7KFYZLihX6DPt/JnnavHHuaoLwiV
QwfpDQgzDUvwbDPo9bG7HqbAJeTmiIvzlmpYopwFzVLRCd9GnW2i4Mjis3PtDNF9fbBVO/GblDAd
f6YwvScuFTbiR3eg3U1GmHojNtSb1psD1k+lFtFBs4p8CyhHDmwojWIKDS3efrf4FyFkFO8UlsPK
jaezNXJpzwFaDcKGQT5n/dJKTvkqBj48ANYrzSGr1NixHWcEVBog/2G/EB+WMLW8m9leepDShCjf
O7UdjPR0D1UUsumKhgrXN1qDy5cq7KhGftYhRH2zOFPTiSY6ooAdwohK0nwS1tmYryuS2CEOSbsu
nuoYXSwE7d/BEeDhEVwuifZGAoI7ljm6iqBMqlTyYefjSjqNgvNoVvDntq6yyfwZpD7Bxl0RsuPO
g8YoKG2RPeLQcix2paAN1Uf9BIu1TGy+TwvzU7XF/sqXCJCmjkRhFzGIfDdERa8spGadJfgEears
39nVXD5ErhvRmO/7LuvOg7rVjP8aPbZfkNLpLNgcFSKwaG5LVI7qNus+AWEJ1kOBN3r51cvLtb+v
jJTr87QynrhhaoVSN0LaMCrAM9OnZPyFO2m77VCGAp09TT521n2HDiymMZVdOZdwjxCWj0OlnW3H
O+oJ8nPYrQwFat17OCUhXm5S+rWfFlg5csEFdNP21qI+RjTbvXdBCRMTk3aoJMZ5iU5o3GxaSI5O
zD6NE4WVESdZuZVrOa3rLsrK1UatzcVlGzWHBZXTQNE2tm2nPehIJkDDSNDWB2D/OMxkMlDyfADK
EG6Ep1xnu2CYg0lGkCj8XyELGLcwKV3EwvwyOUlXqF3X2NN6EaPiYx+dyUndQ9zOtGc3aLGtqPTG
wrduWwZm3uM40LpujnYrl7bbR409zw+zmvF5sQZVW/TjvWF9whvXQ3+oD4L+cZVMGBFuVoHEdhxp
W6iSG1vDm9tF81oWRxwiAfKvKHfiTBQVjXDTrezXAYE4p8rD+ivTW3jmO2RQlw7smS9GBLxl28iN
KwZf2UcV150fMvOy/TI4xrTVg2sopVZRHHXQktam39KwFgpXjiYsRrfZOT4OI8E+EEpYhs/Lw+S3
P7NveynjwLmH29UwuJ2wM+FYaitRtf4jwptt6+3aeOpjOIO2nZCjLFr6ZGOxPfHB9PNick1g6WBn
jiDmtTlWIgIJH3fHfJWzlgOcz4EhsYlwlW+bDBMdi9iJDznmlgmOMWJop/Bi7Rg0KKyuOlxersBv
5ZwysKkTdz0uUvJvHka/MdkfwHlTOcjcQbsa6L6uwPeNXZUFH5BJq7kVh4lTEeESqeg1tGPnEyb9
YSCzDxnTtu7Rc32y4Mkmd7O2KG63xLI8zMyhEVuMtzjD8RO190xyg1WcIs8tSYlqMKLEFFqoNg9K
XgKRcOv7VW8CYlW6nNHIlHikJmgHKBaoraU5OcNumrnTPkkl18ZmHafod9rzYZxvG5QI+MdsBtl8
S4Pf9Nz/EOUmThaeLPkVN3ci7ojhzuD0z1EfmXw1ijXRxlVjH3yeEPxt4NPksr5MmhxRlgN+eSaX
qltpUpY0UmaNUC8KlPMdqR8UIHZT6egRyRanpm8A9AyPO/jwNtyr6ooYvpgU6Ue7Jxgqc0r9PME8
p2Edi8Y2HYuAkSZ374jYYiFb/FKjBidYbDq+l+i0kLiGnCvcwThY2Nmc/lmJteMT2oytWMlIEVTh
X2wAXuGuUTj1AkKAhMhsxcwmD7j3qzn2PyAMQe/p5TVyYDrOE+XfqB7CLoZLdxAILvKORvjKKObW
SaGZlqxTbscgIQq0sYpT2gZJNZ15pKP6YUX5hady1tY0n3rmv8zEWrs2SYWtmApPsLQQl1MYcnds
lop+ncO0erJ7qZj8uWQpiRubbF4jjtb7JxTBBx3eIn2Nq+dlEEub+8E+wnwHQvQ2j6oLkkx8mD3z
iXRVZxpekET4hVh7JlFzkA77kHVAHusNgL8MiGjnypI8O3k5XVMNRAHiUgMGIdgK0ZIFgrAw+aYK
zH6Myzwns7ZZgfw7/KWaH/jfzW+TlfTr7VSGkuPSwbmGMyxNUdOnoRqAxyWZF62525fPo1AgCR/K
cWp4qQy/haouxSx08kmHUwIMF+2WQvJVM79jm2YYTPGdeb1n9m5ZA1W4qiYn0WqXlEPooMysoKCT
1E7NwrsdLV1xrXrteQS71eBs88ExqXUEZVnfJzLK+mfdj5mxsSvGFiMVaktPXHqTowpm9r7LPoO+
Y4rAvPWp2GwHT0M+Iy8ivaTw5D2rxV+XCwFDfrkASr7M+ji7oiuederMLEr8kvkMia3JNYYm7Hna
bMaEcNn/rIjDtY5IDOYksam+8AkS/MQkkcbxYlnW/EXoERdC29K2vYVjn1KO6LRPGKSEQSvGBywe
xGhtrclh/cHrmaIbQQ+ThcEANEW+jHqTyCfAHPRDPMTGl9uo0pGuzyFygtusx92PHCXyGzCRJCHE
gNXpqHnPOtnW02DqB7ZT4HN5WnvxakJlS0wOTq30Z8CRtZzZ+ieA+OAzlwLnsC8vn14N2oRfLq0q
wndq6bBnZ66mmeKyMerJ9I+sWCxmS2JmOtU3NsPaumNBVlNx+5GlWMjJkeYTp1pO2qsA6KuRPZny
5BinNXpi0N7W4SxkCl7i+eNSU3CwWR75gZgVqIpDANudfybyMOyOjnlXm0wUzSqi+HZ6qRrhrYI9
OutyjRLmFQn/GGwHOlduuUdk2lSBL4VFGaN+Tg9gxQQEJ6cuWMD+qRA73XNPhzkbnSIJdPR2Suua
V5o5wGyK04g0T1LhcD7GSu2tGT+AK9nSHOEX14UdtWDey15TvEYLOfNiyHAIDqxsWJkMpKIunkWD
j1K0X14iRzQPJtGtnMLsyre7Rv+mZwT9AR0xBjoSYtGrBitCm5Cho3L6PMfK1JnGayr1d5YHsgx5
1bHnef9yydddNdpUqOj4SOl4jhuSOP3eRUa9sw5tBRAaWISZ3rxsjTIEA/W3p/vzUob3AazQDIwY
Tb3qrLpop6ya7sTnzItNfGoCTyDDMROsiV1vr+SPbuCv/WOH1rEE+ICSngBT/bpNOdgOah5A7T/P
okKS5WJMK5ed6Csv5TNM+8rhLFyDhqAxok0AjH7UZRfiyqRQlLymC2EmGxElr4k9L5H55+yj7hNT
ImB2O3AmgNue+Ont2/9jqQRtYRJbo4qGm69t/vyX3v6MGipSvdJ/Zrw+cx8cUKYs5HClhHr7Un/s
OUFjOGIUxCQIqvvrfjdpVObiptI+RylybMspXpC0eXJWaT6RIAYk8Lct93qEAl/EASTpAhegw/4H
NabvBhEm9O+fWy81MUqhq7HegowxB4SLpsCyiyPyfZKJhZ+/YV1o9zdEu8o/e/vZXy8zU1OQoTRp
GZP6DmJsvy/zhF6+nqJEfKInQekIO5YuVQh3ggj49pVer7Lrw5xjEIuEtmSC9Lp5XZAYhsLJnU9j
3cjiSrWlKc2znErtpFEG4Kx9+4KvtPWkC/2QtjNDXp8JH+2j3x9N5eFKMFn6T33NnAjYtYhNmCMo
LrzXuO9KaOppBiM42soCs4dl//YNGBfs3yY4pFooZtjClxKeoi9eRxas30qnlfUnVJpQMt4zy1oL
RKnrNEKW9kfaovvUpMboZJr4/bMpbvnKtLyA6oCYP5teFqeC0MMa0fpf+IobKOZUCyDIao6EoZgQ
l9mFQgFj32ROoYjWcvLNYQmUttENuHCgaMDMiU7kIkqONI8c0PyYweqCFt0+JJl31VnGaBl7gKaw
TG41QEkgWFhGAIc2ctaZ4xxMOrmNHIQ54ls0zrgt+dKgH0jtiZpF4ZqkKQ/h83K8uo5JluO8wr92
Yw9QdWiPJXlPZ9LVM1IAmMsWtGXfXv4/Npz0oJgE4KQj4Nd/bO2RyiLF1mD52KSdIGdNWmVKoGhV
JgP42bJ++5Lma/k15JpQG/2Y0YRgAeRrKUwGZYvqhnD6GCVQA8V+zND6vsKUwy2sa4BS3MHGK6OR
Imp2MBSnCVuizPW3QdHrJxcCziGRMwAKxzf3Y/z9S+ysg66eeJfpx6Kh/XkOFFVVj24xuf2lO6i/
KCy+3uSAyH0p6BQFuFGG3msxx8Cxkdpqh+GT7lBRePJzabZFnrcms3p7ed1XnzT/OpqRKDkGkskb
SoqvsoNkmu0Sc0H3sUZTIdzFtC8BcAP4yqh0sxwUp9gw8K74D0nDhn05G6EKijUfhQ9j5UcLhpLH
zO/bSZTkoc7qmUQ9S6hQUkkQ+JLi8W7aWrNl2gChQnEkPdMhiCbjesN05EFbjuDhrMLnLEoSy0yK
HI2CHFWVAyuoO8N4JVvKQ40bsnf19iK8Wm/WICKu2HynHtq6f0xMfT9RURUgAjBWuTmZ44ZRBfyV
qaFyfvtS4tV+Nu+U4BUAuAg4Fv9QlsXXh56q48UPodf8uNbo0zrFFt6k+iOhnhD0MnsvAemwCril
mi7pz596jetdRoFgs7i+J00/k1qwJdK5Fei46cwq8tFaLwc+1YAJVgve7IhAFgXTHoM+ymPgWKYs
+Tn4Y1pkhkgWslF8O2tor/yZbirzwlc/5yrWj+m4fGlNaIcOKEYsfmreZO6QtWBzoAn8oM36zDSW
f47Q+CLZuzkzD869OKbLIUBZ467T/OW8DX9/fVJKhAMN4QM1P87CP3QiO55Ah3Ybfym1kB/yHk+V
g8t49BQUYevR40+RUvfm6GIB6BzvWi+uT5VblE8aiTSN9fBYMzRF6TuC3jVsglR1jzH163CLhINO
t2mo4axF+V3FqO2Lbr0B/HGPWtCWWU5wo/24uUhRX7jiREpXowemi5015OL9yhxZn8f9lPuoLSFb
jw6fXzxBrofAoEpoXtsh6m89TiUwmKgTXcmlh7rRArFjJl4+pczw0QRxmRLkraKd14D4zbfKKT+B
mvAvlvmHVMza2c5OtL18cDmfn9sUtCJI9SClhZEMwxFbtfphkmJ8yoRA1D+0La/GTcdH5mOMENey
2v5d4A0DaREEfLTE8wNjgqWF6MdweQuzK7M2GBPr87LGwHuKNA2bNM/fj2GAhGMYj8VOIVj+sMKV
2JF+gmuuoUJv7cC+89Rif8b3YPjkyNV7TEd/3KZzUF0Ucsj2mCNlf1G8/D1YsyEYKxPMfFIFzyVR
eBXTAOniTIon5FfeF3pSblwX+6BsFG5KvR08vv1F//5Bv1wMNhKALAxQYCS9ykji1SO166P6K6DZ
CozQbD/Ak3OHTVUVV9pD6H47J011x4gQDtrb1/5j5/94TLA6jGwI4q/rkdEfogbGcfW1w2Ab+VH4
GvOhEvgl/eWY+PEv/fcx/OMpPdcFnwO5iQP5dRE549btarAyXxH655sRLsfFpqHgySAMl/K+dqv4
PhuwvtvYpR+1O6Fx9z3qzA9QeVbAvgDrBTd90EfntdXJR87bgTxpLNVTVZG8uKquEA9TjneHrGr9
vRrRRa1pz95pd3HfRzl16sZpHLvdJkVyIyokfzaWrAK6NwWzOGeKaKz10fIV90HFKGHsDw7Y7md7
Vsjg8P7+kgu9AuGxJCYNIA1iXQRn9OuUwLHkMHsQlL96o1n8NBPpUTR5eZrX+bnG3emjsKJ5N7oJ
Q48OzZgTfEkY5G9vAd9s5t/ejDRgTQx2AN+aY/w1dKaIK8YHqfyajAwOaKfhijyHQKuxYClXtdNe
NZ/gJiFBllltxbSngbNF3+pKt4FWG0ji1s3qJN4JX1UaZz1UzAp/Mn/bF9ZVttTychHLsRaVeKAH
Wt40Fi8Niy3s2rarmhm7YEEcb2UbyXvSRo3rmJd9X4I8uxYS0aCCTvEpS5r2BhfKUqGdNYw4qKUj
Ch9ucWfVEME3AQ4SB+EqeKqiz5KHqYzSHCQ+CoAaP4gI9/KEEQCqjzmDEM7Ed55vhZdZunjvHbra
8YahA4yetxf3d1gSr5i19eguSA4pcLKv1Z5HWsK8dxkj6ub51xZCsk9tJhZYr10Nh2My7Nu3r/hK
XPvHJckNKHFQtACC91p9BS23sq84Or/lbe6d0zZD2CEeF+uCRiWuojbf0k6gSPu1FXb5hGWnusyy
yL6zdCQOb99L8OfWItUkfLqhayThX4MB+6nyhzCp62/JzICBur2JPzX9muodlA0UW223oMNRNfBK
EKxKl12eBv4JAki2o08SRahTWqi8900gP2Sq1Kb1Swu9tob0Covd4dQJMV8HY5qcJb5MvA2iS+60
GSBjYVjY2sDleydstvB2/fZosSyHvFDWFRoSml+YpHUJe2q5XeaJ4yz3sxb6Aaf3Ft+/4hImISNw
S1SQwsuurIGUYEq91ww9n3xNaUouMrxT7gw5ryoFlmMSuAw7kXHRNqDrdyuiDNKBBFGHXfXMXEkF
JZQgtKHaq6mNBtTdsjYAV4sti3MGOGWCX4XQ1HvVN9kH9AvUdy9zIU8NSBn/rfH1Z/yRHnUCiGsA
c7yf1yFZuExCi3kqvqELZMsN2hj5Z1AeC1NDXhk1lfy6DmOMdIH1edH5hC5doNu/yYT8uw0bGggy
R18YefQGfu8JgJQaqmGV5bcYNY1x9+OFBCv2LpdZGShc4XT00PX1eMDCKd63UTx/TMMe5xl8lpyH
t3fsqwbdj68HM1J6y4QOsJavEbsrlFDdoCX4LZF28A4e4XCPcLS1kzR2LzgXx+ux7NR569XVWTkL
50rVSBhtZKnm2wxBaADJ9aSx9B3Fd5Dznb8J0XN895e7/CNlkAF4V2ROXDDTFJWvlgxx7aWKOm/8
Rte7Sx7JLPxhSydx2Yzocl67gS6YKQ1rEO7C3m++p2ilwcCL3XY6CtkMT35UJpe2nIpHt4fPtB2d
Ikb1rS9Z7iSXWxzCUTf+cdf/o/f1sLTf/vf/ev5aZciCDxQpX9SvMkS8J9f95QX/QbR4+tZXTf3v
/s5PqgWsCepKlG0YjxqTCEN2+ElZlwI2O5BdSnAnACUScKV/BL/QLnJIK0zspQkA0fG/uBae+y/O
CI57D+q6Y1Pm/SdcC++3BILMlW4lal/cIRchlzB//ktrI2S4u2ZNCIIFzb1NlabhJmdy9ZeD7fc9
zygAqTOekTxFRDDxX+/5eNSdK5okPo3UIg76whHeSXhbfaqVnm8r2sln5drBY29W1X785X3cviRD
v8ommff1S470cnGw1yETECAOLPbvj5gStmdRhNEpAfZRHGQ/TDs9O1zXt4t7LFib5ySqWqYhdSZ2
w7pk32ZLwQ0O+kAgWeFAEEa786gwvt6KzurOR9BaNwPQGFyAyxhgNWik/YBp5tU4yPi+Cspp9//x
EPTfYFnQDmMjvYoaNnwViO9rdOrW2d3PXrMeKqvyzjI5LY+dsOFeO4UUe6ta9NbAmj9i7Rzu/Aa6
+hYRmhk7M0SsG/zhgJogOR6hcAq/vCjPsONDlltPzkOVjeqw4E2Vb6wKFaW3n+H3wuzlPdBuilBG
AN2HQ8/v72GgGhoXOUWnTCCU2dtriZd5vxwl49m3r/R75vbzSoy9+G8wUhCj+/1KvnYGDHG5kkZJ
+EQLkZfHHPW8V6K7s/2k+o8qsZfrcaKGpg5jk72uAl1nQJnWgoRIT6G/I6IMkIMQCn77qf7N+plc
nwYSNBGqjlfrF/WEi3KywlPvTtkxZNVacpRTMYQPb1/oh5LYf1cVP57Hp6NCYDJx4Y+gkCfoDU7s
wZMLLOxslYO7TyP2zLIYBfQKQgPk2IAEqFHF/aL98LItA3QGcie+T8d6vah8v7vrF2aem0D7w6Z1
TK8FiM96Sso2Pm/Kejlm7M1HnaAAsRWr7cEVzCfEGryEi8wtwkSM/rLT4AbD+ylYs9PbDyl+NAJ+
e8oQRBjzPOki848UnGmO/hL6YjdGQXnt59MEwRUWVYNdXgJ1Gbe34tAUA4xMVGjnsrd2fgEbms2b
n8oqHw/aadWhAM1x3TKyzTaqFrsOu8D3Dvad1360eJ/kVFXv/S7Y987kvnNAkJabHizNFhZT+eDa
RXRIV84kjMLnR8wOXHyxs+WIloaTA50gnBWnQPn+TTLSy9IZ4t+cLiiRtzGO0EmQnWDnL9CIM+C4
ruccB9GED/CU87PcQuK8drpUbbok/pJy8GyroUjOPIalN21JxQQaT3qYu+DiomO4wK12MXf2MMbE
GKApaTEhFlEg7fGkcNYsu7rcYMlo3VDbL18XlDAg06Vqn2CIevRjLx+Ql4BmvBZA2FCA8tA7EfYD
WE5En5K0+N46KVl0YUcLDiQ9aluAyGwm73U6f5AYSuxk5QIUiaLyLF/y+XJF0euGSX+4U2FWRxsB
ovJmVHX3uc7RUrc7GAdzRIkYF9+swgqvrLq0dnhUJHtL9udVFXDXSLEg7xCdzdoCuxu38YZsH3Pz
pO8tmgc1kL380qznrkF3d0sNaJmx7LBxKvERqehp480pFqMoa1/CilgerbLA7sOp7PUaeynqnoU5
297mfAG+PYmj20Th2bh64rlH2OE2Z53qMwUYZNsx3HkoPKb/LTtCw9YbqX6eGzhPhyJ1Ldp3c1ht
jNflI1btI77SkH416mabYW6S07SMhzQVd25cjXtimz5TgH1wv5hVCILY/YqAMTrmgdPeLX15BaA/
pUtMI1InJS6kscFIV2rc9jbm6S7ivbTRsSGJ5uRdnSdXcRJ8SkHpncCE2Pexs0Jt6IP3iyqe3aqu
d1M/5FsrD6In5cdoXfW9cynncUKopYg2jV7nbWU8Oca8szZKo0Qm8fUmRGG36TALgy3dzBcWQjbH
Av7DdoEj+RHrqIWbmeMDprjQjArRoHFnd5rNpSe54xgqDlkSBhR3U5btIKS44IsG6wKh8uZSWY29
7Wd/ec6nwb4bs0EiUrXAb9vYbt7erA2KehtncLqLBcDnGeiS8uSIzD7Jhs8lsJYGjYmoc9di3LtI
dWyYVkDqVGm8ne28/tJrL/mQx874Fez48kHofjpHh16f4YIAGSZpvUv43+2xU0W89WNbn40O35e1
FKgrlMtCS9nO5eCc1Vkk127ndEG1r+ykQuhnnR89bdcHxhIpFhFw2L2y8bYYDsSbSIxAExk5XWbG
QKPGcgdRVX7M67Fod1mAUHDU2sUuaMblaAU0rbvBLg5xrpfvWvVTc00rukTMmaQAdISNhr5bYOZb
hbss4eRAxx11dntssTCa3D1P3J9LvG32U4+lp8to9WJV9vB+jSbvxuVDvV4yuxt3RYy37sYGefrN
yfsJJ1wbY/M877+kck4AHmfyKaV3dFkDX36wbPKLsmlTvIonshNNyoejBCV2grndLgb9TfuAjsd+
toPivky87gMcoWJX2OsE9pO8EKmz5VgWjjibvA6hauQpnmC+lmddhgkH2Br7VOYesafnIbuW9Is+
b3y+Rh73tYj2Gi5LfC4HtB6XCQTBFq+/YpeDhN5HvebJQQndRHY17fxRuPtOrfgh+15yswJzHJDq
WPk7blQO79Gq97djj/jZRMvcPmqteCQrcJKNQkwGF+Qi9/cCcsONQ2DAUYcZdKvc9WTnQQmvbIzP
yVV8zGcDulmo4J5rzORARKbLd3Jg/ZTpnrjeuN05eFeNRI3vuUcHg+AjDGL/gp6Cdb9wgZQJJyfv
ijkSt72k/qcp9nvkMhlc3NuIT27iIhnve9vtdr1MnQ82codD4aDWq7vmOOSgpjfki+LCn4EJdwQF
px/FNboH3qFNuxmJbjfY6jJPD42IYQrU44OD8/t2UgpfsmLy9zKzb/u4xsW5SBN9xDRhSY8sP3LU
PcIT6WU/VB3GuIsPXnqu0RRRVW9DoXH7+DKKK4QvsDgY8MwJXS+9nifYw+vLXOh/Cta/FKwYlFNg
/r8Fqv9PX0BeeR5+LXJf/s4/WrvRv9B7DYwzlQfcg3Ltv+pV1NfoA0ZBgI8YtecP9bV/JNaCfwHK
BmKGCymp6a/1qkCXzXFMGm700UJoZP9JvUq8Ji37JW1jAs//MemTqLmgA/a6nIPp4HqtiyOGj7zI
FtI4hAQ+oeMap/N5mXT+CfVHEK4N+jtf8WeRl37hdbBwHGe6RybIps/SWs+lLO2rAgI40NpYPAR5
nuGy1XLaJIMnr9NSD/dLrrMHEN7lsQD3e1YlgfOpwYUGIQCZn0NH2qtl6D6D6chP8P77DPgNSGdg
de36xW4xqsg4WsHGzIX7DlhKcR7VZX0RS1EeRzFsgDTWV41v9HHKuMLFGFdiRw8TR0ZVVbBMqT9d
K5HnVYeQLNpn802DG/uxLcPokg9IY7YTzO4dmN/oGm6WfeUQqq/o2Ftk243oDrQXyiNQ7OSDE2XR
tWMVt84cjFcxDgkotDCuD6BP4OIRWSjCtuI7/e10M1ULqrEOxN9tD9bhNuIARUCT8pJZyIxlU5mN
R7+026/TxEVEL+AqZpj81GNTPHZeHnSbufTyY1vN+SkalNpN3lTtbLk45Jbu+L4Js/hGjel0p5ps
/QIEfPlQE4fukgKWsVjy/joQ+XxHzwSJFtfNDl3sjxf2HHSfKyw+d/D15KHVpT5Kp+AxknneeEVd
nnQ9YcmGj89XKxLGEYTqImov3Jr810C4xwyKC+Is9W7w46uqaKszK7TOykIWOwwqUIDVfXfsOu1/
56BqNkOusgsVeNMR880YU9S0ugXKtrqHyMqLc7BPsbUXTD4vWnhdT8mSRR+lOerzLGjP4xYl1BYp
84co9rKrlYnoFekKFDFOk+x9rLzhMh/t8p3XeO2xYhwRbSbIJyd/LpH+wiNI3K2LzK5wtV4PEBzK
coMuLCM3jIuYXquOQ30Q+jIAqXobIRh0zgAsiLf56pVfxnlur+MgKE/LPIqLAIzYsWqD7OMYyuxD
12KbUSetf1dBSTrNGOBcA04WFy7qTqd+bJIbhajOA97aWKdVnLuVNZ5hFDuRpNR+eO12rYs9rhNc
dYlXnGUgEU45Oj7VpiqGkkEQx2HZThduOnlsx64/Wbba0/BXz6D00AcyIm97t43lcyemb36HM0iy
tNjawevC5ir2DozQw90ia/dJeMUXTvE22VqJ536kanhotIDzNpAkrHZt3zVpEMB6w6rp3LeAWpJJ
hfZ1qhkXbycr6J6HuM9vZVJQiqGVgZhNHKbI4vCXkjUrH8PMrlACgRGLm0p1kSe8xAlHmLNgLIMd
9J3qnRSD+kwnXPcYkzsPMCXOEncKzpupO4J6BTsfyKreZGVe3AGhKu/9uDwFy6TOg3itz7yianZD
O5L+Eyw/qibKzqRfxYclQ22JXvRsbO3y+3ZA+2Sdu2YrCiZea7oUBrlefIAGNT9KBqN3pHP44qiW
mUWfFi7lp9PeWv18mMqgu0B0Lsy3UXTwVV4d42Gyr4DslseuvMOeXn+wDHCrCIRzl9uJwHkltAe0
S2g/17bu/y97Z7Yct7Ft2y+CItEDETfuQ6FQHYtFVrHXC4IiRXSJvsfX3wHKPpZ0Ym9fv/vF29oW
mwKQiVxrzTnmm95O/CbYMAcx2tuCICS/l5Q8fmTrznNrY0pclfRv4tVgTwXa/IkzE7CpLfXIDHF7
Mm2v7kfLBT09kBUYTD5dASYmc9HRlHLd/iGcJ1DpMmVYLOuwYptjYLlyS6h3YVmV11MeCF9VledE
S5Ea0VvT/Vi64GotnJ4u6AJPKvFT6gxiL1GC+Ti5q5WWpMU3aUVYt4rIPZuZY+2bxhyz1RJZeQZQ
R6lp51CryubVIvBqm8BwuRWNlcHVyHRx6h3KCifIaE7RbbF8nAgE8/DWOM2gmZ7gZcfHbO6/onqz
drwRZ9L+mv7UhAbpOoyYjk1C7dlOinskkaa+bZOguk7wQT0qQSxPTZqVfqE2lPluAcxJi0ofpbD+
hLKDvPiWT1kHTrGJxkT7PtthR46aW74aerW8XKgtn5lWxQ+42Dgjwk6GOJC44bbDwItXLiQWQQ2i
W5WE0dXgGiZlSjXeiY5Ln0fmvJ6mlkblqDlXDrj5hOE8jUwQIwMPmjp4roKolDvb4aUK9W5Lwne7
eDjLB0niU4wF38duN9+mvW7QM8CdC1hOzAkmjdxYmeG4saqiP6l9qB1cdBhfh4rKY+kk0fvhdRuz
xK8aJhk7ZN04CNMK/mhqWfE6ywfxLAPo7+xMMDlabT1plnk7d4nyVtJDP5Sto2zwOTc3oG3k3gRz
t4Fu2ZzlNDgPaIqDjSoqcRf1Meg/0ggVb5oUa6PjXDnVE50DOrtvYu7Y/lETzDiERyPcjvqgwtRy
9JW2VJa50JiK53U8UpwUAz7ChTgAZCtLY3FGgb5AgJIkvO9MDiKkOVVkqua6256rsJK7gqge8rlL
KGeruamZutmBU324dZnuexmB9xoH5RhrgCAJr7jt+zzdtWb3YtYmsHaIn6hzwJ9/S1vrBU/+qwi6
DwyHLw5piLk6w0qeB2Q5epXt69yefHyf91oVlocysu37vkw1ApiG/I1xxPiEuePF6XNL4VGPIWuk
hxJfhOgOZdVUfbuVVJKzdc1RKw+t1azhFfRjzOuGvyj0juMCgO2GhQVbtQsXtrGCj+4TFiv7gRsH
vBmIrNLDkyVdc9v9QMwutFn4foBnSzZQzl6L23vh0lY4u7MDwZv1ehGJrTnkpVekx+aH7pNqO5nV
V6btYXIbICq5siNTBYAbzVFAzGYqIeOOkF2piMOFmUuUR6M8mJi6TJj4fQCQTIlTAgxtevi5IqYt
Bp1809M8hPU9YKChJBYTd7INjadR0YadFZe2N9EWOfE3x40rbY6ThErFtXHsXA06vlAKc5WGvGUU
m9wFziIP+RxJP2Ike+ANotxFShweAbmrHvyP6dSDJD/V3M3D3MLlj+Lh1Ujd6VC7Fr0lQ+m2aj5O
K8wkHLf0WetWDIzqqzjeM8LDrjOt+yJocUrDXQFehcXPMonfDYxzNpOeS3sl3M8GjliigyCyZlp8
aEV4tFRaULA9yyOU+XY9hXb1tdMpPPGW0met+niD9d/1lVAEfh3Lwh8Co2SsHdEYajEMevA+nF0n
Sg1hmpZtTbKWPgwS+iavhJkzxismO+o7iSuW89SIjrnpW2fYVWo+BJWxSG5QMseZ/DE2+reI+5si
DpoWI4v/XMRh1s6/v7XxW9f+XMf9+LK/5o4ItVEH4Fe2dHT71FF/zR0R89sCIBIWHfJE3L/mjqQT
0f/XHIwyfxRrfzLeDPGFEs4CDWVSe1EZ/rPMlN/E/PyQZSqqCc1w4HkL8fs4yNQmSk2sxLsiD1Xa
TjHrCgcdfpr2ebLSbw5KsFXJQJDkvNH1YLSDyB6n9OCQYuqJ1rl3GF8dMKun12Mnj71DK8hWLI6l
tU5wNaRtO+ldb+qMkV01nzeGnok1uyWhjHj/NyXZnJ6LDNlDeHIuIW+AZmQjSQwn9dXKhhCs8jNZ
NPQyUPV5gvfLGo7Tcy9dXgBxQdOpwNFiJt8spRRrmfHXU5qAXtHb9b7s62eVIEgsBj38ZYwGfhbY
j6h3LwwcvvVwnfna8lkW8QdLiDSHwo49BmdnFVIBnjY+j1WOrS/q6tmCLgSLgSyNQeHjkf6rcSbP
xbpXoBbXzj7MMaMFDZeGwDc/bDMUvEn6gVB+XFkWlxLLIvnbFd9U9lwCg6wJPgKXQTj7LG6adVDz
t3rB74DKlbNewBiLiMliRwBhuQGHK9dWZfFfU+M8OF3rL18JvNtZxW5HYoO2HKQnLkEp9dY3W3U+
h4U8u/SzfNnwI2U4m1emwXQ5H+i3dRW/kF4yOEK38JA2LmdOezkeFvnHlFcFAqFao7NKUxKYg0bW
ogzfAqmoXAf3HiF36+u5hKgAw4dYS5gaRst0E4UiZWviNvfk66WEvlAN4aiYN+VMv3JwuHp6ww8d
THvvqMr950MSV0TpTUbVrKEfibU66eesdzBjC/d+oBL2tJR/ZMI89zG/VJgQukelQD4WRth1EWbj
wXZpofbl8hS1/F3h2qe4UaGdFozP7B5BmxVYI5eJB6uTGRAp0zzxPH9gIuX0ofGryyH+hmCAez/z
p4T0Xs5NCv331oFKhX94gcOPeLEpijS7nK8ZhLhe3dTPn/c7C6GT9hyLvXbg88K2cBfHKLe+4mDR
WY48CDX8YJHzVLOXI+Ll6XRsHpViWQth1U4PMuKPWIS/6Sq/CCuPwxRTrlPH5UKTdD/N3PmhYp3Y
9hAcBuRZ1xElCU3O5tkG7wfkhjvsdDxMDqvx82LkTJ6owfirZZp9y4js8Qnzqw4AtkzfCHhoZdoE
h4li8pI1DGMQuyQr+tEwGfGob6B6aH6dFmKd1QaXVPT8DmHUkBevjFtaLHAoqiAmQIIWLqHpEG8H
/RgPCbTWruApIzgCHXOeXjsaC1UXbAQOgHSOs6H0BeuEAJr43Efm6XN56fBAdkLtlkm7BKNQkFVR
kBAKwJXbTWx2eggjkW9HzjA+7n+WYYpU7fPeolRbjLD50WJ+wxbCI5CXlevpA9fm8ymnUTpvMIO7
W8qG1J8w3W/Qycs15A3mUMsDsDzhLPFzbMz5Vp/Yxtye9W3M7rz7vM1tNyxsFh4jekut3zN6fQVu
p+xMCNQevXGOiZ2q7AJXZ/cy428c3LgFavpB/YvYneALX0Bm9DK9dT0tB/Au6i4/0tsdT+Zobp0h
+QaPhOg2e8iPQaqlPgck1EazUHahyTotZlM9TnbkbmyLhyzP9PyoNC4/HQoNe29GI5LNQZ0piEdj
i/Gx4UQ18s1UBgJGo1ue3Qp9jSmeEYbW1PvBwtBg56RwjnEmyD8yETQA+vTsUGVzG7h1n8SGoNPO
EfM6rM3MkcuWzQSDe++Rn4QtqudXACbGKoKIsSPhjX/YUv+xN2ku8onPRdvHFmnyoQJ6vY1uzZpH
ojaNszYtoVKBAjWX+pzXzsDDVI3lpuG86KWFFGuEqflxtIzx1NnpB2UWl2ZiBXxeayRAzDAyvmWn
cl+N3Ep9Y2ybtYKhbQWUD5KBVIJbjeM8IxwmsE5QfVQ2/3fWJTCx6I6HMfuJoch4o9b1G3p9E9kk
8Omish+zwij8VIlulaE72YusXSfI6TDFZI5i5CCKmCCdSfjYkwh/yUfyBnC1zV9TU2b9iqGDYfmu
ozYKAZ518k1jMremsHMJYhLavRmmco3hinjWKWy6AxwDbqEugjBYBaFqdH4iiPiOiri9jUIDMye0
NEkrDuN/n3hT2gqfFNuaVGgjKpm4VJVyKIPuVWmL4p1IsTcjFkW3CvUx/XAqXYHBinF9brBCjMOu
zRmIulkKKAcKYKV7ZcLgIEuMXlmHvIrWuICDazAXs7KROnb2E5xnx97ncECzHQCTVnmGH9V7EQlh
8hhEro7JvZaq5VVTWjGb7+Hz+SFBMsol7zg+APH5G/XEIi75qT+9nGsQDCPHR3iJA/Z3MYh0FW2G
dN7tCE2mCpmjD7Bz8LVz5x5kFMwxQhM9I/5bf/L/Er0sP9egU0M5vfhPf5eHTIYGTqTsdurwudmx
BvU4fc8HxIDQVv9GYvO/xCjLT7MZB6AtAEj7Ka74STwxD6FixHPe7eTEA7KcBAh8UIgaJinp82j7
bxHwN0XAoupHkvKfq4B9MfxKeP7xBX+c/13xBSLvX+rBP87+rsV4R1vum61inCIR56+zv77McLBZ
GnQwLVSHxl+aQ/EFT7dLiBjW/s8cnX8yw8Ey8usaAWDM/FK3mBQxLqIO0H+V3lB0t31ux85BAPC7
UoAlc8TT0svIgPY9y/t5P9AaJx1GLvw0ek7pScdy+gKSFPtVYDfKLRBccuSicupvDb0NHtNZC4yr
Kh7Ht6iNk5D+MUcCL8g7XfGAUIabTg1cP6Cv/shgcjh3dakzyuDtGxyixJHvfT+Zx77qnMdoLBJQ
YrJGk9FSWU2kQYwkfuvDPnKNeN+bvfSTSK8gT4HHipd3n/VOcqX8nhNsHEo5nxBX9E9gV40L66Ij
qqovg4+WgI8b7IXXKdIjJNl5nLzAtq5ejSDsn8awyjwNaPSHArGF8264kBjr0QaR2bvZepxwpSW0
2a7JolaHlVsb04edKcq5yJOhx4mXhade0VB9G6VtrUJwKrRoC904alGSQrlKZswUoAOj17kM8520
gsY3+yB64cAbjp7uZM62sU0dQTkixrtJjaIbDFt7s2AasIuJM96Gs+scTM3ot6IYSxzTiG3usogO
+nYG52fT/Y0IWy6Y8kDgTHM1XOdG4b5PiyjRm5zaFh7Dte7KcuvW04IUOWWQ8uJrVGteaUVBY7fC
rlfPmDDNZKKoACnvnIyJ1tom6O3u0ttZtcNmjkRJEc03ssud1nNpPxSeMVvlXSVpuKu2o3iFNnJx
XIllRSlzCdMb3M7KCefkJramgnw6cDDPsmMWYXVUD1folGyUIPPEOCkALXPAgx9ApiGEgxomr29y
aIgeDZFqWukWuQIGaRUcC5EWH2i1L16WaAxvnbb8IOVp6nainauYdz9KsoF3q8HbGorZinNd+5bX
usUJLXDkY9CNyb7X88qf3SnRmbJY/WuJCBiDE57AosxN5k16jURdr/SNWrjIbcZYhdnWNmHyWIk0
GPvzrEAvxA6FxbBlMNbHl4ED2m2mMcGT79xdEj8olWoAXqvRyCOlIeYQLlV8EgwuglPYVO46Y164
Uo22fxnMwdo7GDIeQoefEcB7gRl3ZwAY9QcAsChLVaaEu4Do9o1SBEROsEIpQGmPTa2RbpqMQYqS
6LVHJAbgJ5Ttdq6i8XM5xGDfXiLfFsQXAA3OmdRPOJOwfYR6tkb3caXBJ7suhErXvzAuwnB3zChM
wiGMwJtEzVEDEBMpBBXXfZl1ZavemIJ17tQ8gUZeiZNiFpO1bppO93S8TZs4mduDltXwUJPJ3uuj
OxxJ3YnXQ5Wl28rsOoxt2VxdWU3VHbSkyy6TmhucYAvL3FpJ3l4UtznPEQszRYGJm/ZBVdgGJMEX
Tl0Y68RCJFPESXOvdJo8AYS3vSan/opHU72jemHXcjIEdS74oRWszpGUGdRHyRA6HjI8pEVdeqsb
+aNr1BJsKQtbKXTonuGF+RbM80JNvADPn5cgqoQ830gkobOVUQlgq1SSYrjH6x2tRT+5e8ROs69J
q986WqJdLDR5a7Ynqg6jNhk+GZlvmS6FZgjf75qcdeGDuB2PTODmJx3f8bOdMSigUYhatyScwu5a
+x4TJvPOwVrydMKGPQXjMntlbAYKLfaxwBCXhvONSFm9cU5Ld+7ZG9E5ObsCf/gO6FdyHFQccn7Y
MDaA5dd5UBwzb2hMEmTitDpljNy3dp05V2mtvTJqwSARxvCVGM4AE6paP2uWmCCdi3IeJAOQYKYf
4BEJyNXWYG/WjJ9cxnzxtEA49Z6GPQONEdWggrjKjJqbhKPuey/ozNCJJx+t1YQvHGIzEsPuONM6
2XNVOM4tsWblRNWft89kkmw0s1NOZjrmN8jn4/VCb7zHjiI/msloX2zsdHd2NeZnyu7Qn9RKbGRp
dNf93NIwEUaTMvhSUh/tg2TTjeLuLjb04uBEjf6qNzzSul4NNOCr/NpRywZtganeMMdKvbGtOlbV
MN2FasZYJVPU+NQiSDsynO6PSBWCnYjMxIPema4BCLJlyvCG5MhkFwdKfKukHbqjtHdsL2TPX+tJ
qxHACW/1IGQZbbI0yU6xJomXz2fym0D8NV+nTx8TOWHxUYNigyY3qBjmqeM3uueEz+jlfK/3uoa8
CVrBSsq4DVd21TxU4aAd6eAPR1iNixPLEgnPWxVdTKtT77Sw1zAskco6DfQePItwziemf5ivZmu8
jZpiqS+W3Z43+vgaMbm916OlPu6ArPmID1LEAWS2JTyVB7Nuz203NclNWOsqXURRWS5pUpNF2Sue
JyWU+a4Y7Tp+wtEZ5K3XFlbHmyglQBW9YNSTiqJ3hIqhvltTLo8ZLa5xfnfa3vKDdMq9uo7ZgkH5
Mnuva+bgYTR120Fk98M4Vts4HUKfhzTYcyvlustzedbLqV2buX3oQqVkTFvHP8Tn/56P/+Z8DIz1
vyqd1t/l6/Baf/+5Q/7ja/7skOOx4UWDG8XA4PijDf5nh9z8AmGGXjduBZAnGtXPn0In9wulHd1z
YgRooetLW/2PEBSdKHIDUZJADEjAgEbm+f/9P79kaDS//fln2wpwqV8PyRyNTaAmDpp/QiHQYf1W
0KUJPUN1dqvdZE3Rc5u0ebm2Sh2T7EhUqceDnLWbsppuZYGoz5MRTUdhu0CLBVbJnpQimOSz+hzE
XYYhP08tD6/o8H1sLWXpfiXMuRHuyLC9zYFzrepOfjWUmlKVnLNNHroN6AgR+iTUWoToGXa8Q7tn
3iUtDaGRSf9JJhykafXRV2W1B8aCpKkPloo4tStofinkvjEFI3qNgWR9NQJKhRqrI2EZzWQ78Mtp
GH6tcm/PrBnw2+0ld0PjgFTqa2JXynMsM/ozVW6tDPbTLVO50C+XBn7pNEh8R4robGzOvRO+m0rK
h4R1izVBO1MLk1LmptF6MnUFS1PebiGTfpSobgYOlC2gTGAXvlnG80arWkDKMz+dLeBs6aNYxXZ7
3VJBrDqNJpzq3Ad9d039AO0f9/FQzepxpEnCPp73CAV4R2sOkQoTSnGnfAa1hRhebUcCfMOvNKD3
y1x8tYh50in9Wpn0Ru2iuIMlP78QMSLWJWCGNcCKbsNZtPcAxnk8gvejHviBnVjE/FnLrwCb3uRb
u9Wob+GDihs9VZRN26ck1zaufCwYdjyqo07PcOmMI//XN1R8I0IhmBORyD6aubwVFgLZwFAOLRS4
V9TQ9X0JuRATe0CSnF5Kf6BNeksy5S5wZpxaZlvdoHWvn43UubeauNgWI6JashWZPQap7c9YHXdu
ZTl+LZ0HMj6VConN8BBS1xwMomEo5cIlK90NujdF4Aj17Ero51aT+imLq0hFJRCNNO+javZllN/p
Chs8UBjSzrRCvzSydTeNExAcqEcW4WGWSiRjH68j+EgeaOrK3daVzpg9LFWVBtpUwCcxHcq33ipO
mjp2V4BlWhDGtWI+2ID9rozMEl8NPvi6IeHdy+JEi9fwxItiozp1UCPPm8QVBG6z3RfoRFYmzP3p
Q8nNWdly1iuCj8m1h2up1Zw/QzCAdEhjrMQ0xBCTJOrdv42Q/6+sK/2zS/GfGyE79vk4/nmfV398
yR8bvWoaX2iJMe6ECmL+8Fn+sdHju/yiLW0zGmc/9vP/2ek17Qt8B6yWRG4Yn1LY/9npVecLPS+6
IRpInn88CjV/7RgupkgHnSlSRlw9dF0+cz9+6qVxtJUzZb12h5at7FblnDUTgx/eSN4sM/dYGiHZ
orGs3xCWaPdRlCoXza3AMhgKlBYZE5NHHOtSKcMAWiNL91pXQVg09uVLIwTfhyxyBmhLBvltUtMN
pBw2SfImQnTTgbjwS8aLR00BmBK5OfJ7IGXbgj30Mid4tlxkN6uIOud7PitYtCIDZ4BCCvjNmEtk
W1HTDq/g+wmxRdAe06rlsnlow/F/1Wk9b9DaVgdzUspvHZ2IV0CEEyfRibEvzNmXqZ5rz6U6tD2d
Fu73vg7VlVYSLR6CNDyHkXVWWyWOVxBHtYdOH+f0R4/xl5fvzy/bz6bsX03bz1tgEUDMXRU0M2Gb
/tqQyihKEgIsrbu51t29qXd4orSxJmW2GOmf6rwi7BW6HfcW+792RGPKRystp6BtngrExxFwAaqi
Yu/OXX89Y8A5oVEu3mERKE+wuJtLtNAPzDhJrjtmowh9olY+Shk425CgyU2HgevGceoHAg7NnVkO
R2Qr2r0WaVtGLO9JhfL1p27h7Y9P9/OHdn+jf+EgXvrESK0wwhkYG5bn8qfnrgRRFXJWgKZRZMGL
utz9kPygZ1UzMF9ASISLr9d7KHNMnqI80yg32nnTMB1j4j6Kb2Wqchlccxhvlu3vQKvJvAsm/q3C
1v4dSLl6FSK1uYk4rx91tGi3phM8gmPStm4cy0ewsb1npVLs4nzIiQqrlS3iMmtNu6D1Z4GPi0QY
0V+JWX/Pre441Jq6a7vA3NFJwrBsBMS1MUT1R5OZoijdaGPGL7J0QbgaxfBGXDFDFxp3b2QA63vg
8/WuZjy7CiKOS2XfbQhaGS8syvRk9wqLqUmxVOrvgtdBDeektpp1yuwewRy2URSjBHHGMWzPwk7c
Lc0T4DUxwzA7z8cLtFuUz0AGk+uM7uARRLWGiyovvzuyyshew0hl8RrhTDfiLcEO1jQ7dyzjKzCA
4pr01vHWydX+2kwrPpymMyf2q2hOdlPNMNdD+qNdSI0abxoaL0edcIANQC+m2uayNpV0Zmo9NE9G
hCrdhZRzNKAsewJx9N9A6n7bs9BroETmIKfrqs6IA8/rr88OlVtAy9JWLhECwHPrQtFS4KM+QuMg
LMVGVAFQkWenLua3QXNmr2kR6nrGMEXvSVmMp9LSgkPViurJrgxEoJEU24qz0+guA97Oyh4QvTN/
62tTrhJaY1vJvT8WZNyuRBvOPo2CkdlpoV1GUafGCnjWIvZQpmtjGYGyXU0b6OlorMq5SA+1Wbaq
b7YKTSaBbG+VjP14YqY8nz8f2zJhRhvTFbyuK+aaasnrvZCOeHaUrIFApDZPuTJXzPRjTrFZGcE2
0fU8/pYLGkdFrWQew/IOImTXWVtjmjkWpU7k3DiC/Bv/vy/dT3HMX/vVcvmpPBxQF5gxTBPI7q+X
f6gY4IVzHVy0uuQ036q2uprqSrkjp5VPoCYacShVo9wnUwwtxRxLt7yGwR6NW4dmJc1L1mC30mQV
HJy0L1/T3qon7HADAutSrYMXest8GIA0KnarTtn88w9gLK9XBhG8l2GZ/voB8jltajUK7Yu0OIZD
XRlPOLjCTYU9FgNFzj4TAJ27hfTBFoN4VfFRLJQoIoV5ReBw8MHaQ8lBbO6rPtoqAviRaZ5WdsGm
kk5wL+0KEFaUhySc//ff/bccrs+LTwYm/hPYQK5m/P67D/RPawJizUvRmSaCnKYJPniaA9pwTS0B
3cbzdTI24420+3zbZg6fQMtzWqll3B8IVGY+7Wr1XppDvS+oc+5h2rtb7HYcQ+uqy29mp4mPtsbn
HzICMVZtMzQfHMBLblFsfGuCoduLeXZ6VILzeNsZQ5pj8LLpsSbmvBo1Sq6264InjczFHf4G5wBr
FNEFRe9GNnq4KWU0vtRWPm/roQ/28RTVPmnjuePRDxq/A45jv9Iyg9N1U2qqT48HrXGREkBR7xog
1tR0aVnupdEHL7nNUudMMN5+Lr3AVcL3OlCi3ofvza+Xp7jyxlq7oPeAEpMlSBFcrYreRdnMmwTV
1QtPXv8dif2ygyyXJrED4rbz+doQM5fPyNj5yrgWq0nL0nuEijOCWdRItCeTN73IUH6G0biHydnQ
pdGY7BtSO5L81axNW44nKmneJf/9QeCQyFP6yzKkC8CZAXcTPVKOg78dG9ir0YOkfXWBS9siJhUs
sNXn3kzft9pOQQWvinZjzEiBmDGOYuWrpbXzeVbZk/wwa/YRPDSqmEQeqlg2w2oi0jf1eiWJM1Tv
+aat0mW5qrb4NgGAelhCA7/Rxu+/d7FtKGsUexl59ZFTIEDnOHbdE6jlZzZZx0uLn2Jb6jKQG6ki
0l25QHJ2TkhK8jSX9n40sodxKFSd37KZpKdogCEqSzlDupuGddOJ7p0IHbbINF9QToiyRnVutgar
dmfLeDlyLve1HOL2qRnTHVV4P61HLZ59V5+e1JJeKsZ08KFiiuDzJywIKnwe1kRrsJw7jv0GlwTv
MhkxBzrbYje7hEpgvZ/JTK4IcLnGImy4Hq6J6JH3QPzYKAkumLkcdOrFOEueGsTscOnTygp3EecW
3Mg6u8GqgbGPC8hWL0o/LAeceiwOwqGRoBDstl4mTCF5Z+iZ2jFC/tF0KVueJOZJEAVX8+9B27EM
GGjNgedYjWGsJZKT+5DkmH0gDN46s5ro3yLi9mgPq1aZXjF5WY4/7nQOW3KL/DmsxDdGU+yrbYUF
d2JnF56S00EIzSE9TDwIDjgrDP5A2aPCM1Vdf1aLOXZ4nrr5TAAPFi3VTsZLzdly12L8D1cNKV4f
GoxLWPmzQmx8lqKksAIcqaKeBx85DO4LNCuRZ9WBjZZK4SmMAWUXqzGs1y0yFWVlloFYx/osPxBz
XWh4yNgzObbizycjCEdImp1sO4tutcweaLVCsVw17jSfPxfSvy3Mv2lhgvZZ7I3/ubLd5+/xa/76
S2n742v+KG0d48sylmeJUIv+sF3+Udk6zhfhuC7cIVS+dA9/6mEa6hfbdNH/UpCoFL8LU/XPHqb9
xeY/LF9Gz5E25z8yaxqwiH7ZINH2QjLmu7mmjiwFEeOvr/lOa6J4jkZlH+jzuNYrKV/NhJPjqkNt
xJRo7rV+NTUT50OCPgYvDTnjWVGdXc9WQHiUqkLvDETcv9udmt3MwZh/dUVCdyckeiPGaakwF0cz
v8nyOf+amRzy0ThoN3U8WC3nxlq/hmHC+ZO5Rpj5NMmsbWw5d3adyks9dv2N6F+zoqaobaL0se1F
/VKkMZnQcy95O6aiHF/pPmXjitwf9lRFJ85lPbq5PlKa4CbzS6tKGUKnTGT1OkOFNeFz9qmeUfWP
FXbJAEL1dTiNNOOACs7G2qw1x/BlgZTIo95M6GU5ib6tQPJEi4EtOuqJ3Ts+wX+xvYJtYekeA6Pi
raRB8FJw4j51zSS8TpfNFX3a4c3J+vyF44MpPZqh0xVBEtV5KpPwlQJSw5aqFSvO05u+QzFodZwO
x9gZiI0bi1tTZ7S+Ghzas7x9Bnsrxzg9OTp5b4bU0c0ywJiaYs8W0YVYKzuvzztqI4M4Sy22b1VE
qBpz6eyNUaRK1yxjam2qJS6epL3TJ17ByIuJixkmfUfkhgpMhAT7g9mG9jpBT3rlQE0P9jOshkNP
7h9M89Bkj8MuZB8dkWkMXpRJPpI31d11Bp6FpFOHedWlvfoc22nw3CrluC8Hs/Jzcu2Pw6wlSxlm
ke0xGd4wBvNxDtXuiTDJsvJMN6uPA8D6qwieA+4cl7SyELx1CrnQiG56I5c+kk2C1/LBrQguUu3+
Wipjra7Qi6ev1ZRIBpdjZW6R6hUZvrOh+Yr1ERvGEFS449BYhnTV3VzdcZ6IL1GZ6k9amMVndzb5
aZTl9Z0KimPTVZFxpWrEMa2iroh2it6GzWoqyrXW9hXkD5UIA0xfnpUl44uShzWahMz9PtSDXW8s
kYVYc5EAxohyK/fiJhazgKYNC6xzoW7dRgYpqqveYebJyHlO3wzCYwgqBLrhhwINoks3wqsyXmvc
x/RhUJvo1h6T5rpRJ8a9nKVcX8XgiLckN2gu4eJZ87gW945eCUZtLfpapeK/q0VoXFe90RUERGbl
KcntIiYuLGOVP4/E4y6GPxJlDS4PFjRRHly8WvxPgUgE/jUcqimxLg0hi0IeSV4byVvDldUieR26
YRX0swgu09Dr0yEyo2RXDdat6iSwLQx79nBqhium2u7dyOmxx+bWyZcgYGysyqCXa7sz3MZLS63w
8qwx7zqELfjXYpU5IH1wL8pjcTJwLB9b04q2RgW2uSka6aU08X2mq6lPmgWPIuvlEjQj1MW47+XD
GAx6drS6VmAuJXZCumtAO524M+aGUgFsqZWbdKArZTd09aMhMT0r4MjS9VgjKNLr/kAcnHVdQP5n
Ao2XUxJiuy27bDozfNZowsgK9b4ZIsVo5Hmo9foiB3QDRpow3tVd6aMFz9ZQGldZAFcX9M8JOTxw
znapleNjnxw4ofGddKXadnZATF2svVhBRE87UQ5Joq06TMcr+mJopcl09MaqMR4j6HX7oKkLT+Wy
bPCLNDexMF7crgzXA65gnxAT5RpRUbALl9166sRTrrYotMKAmzy9101/hdVOEp8krkgFYcYL2Vps
RBM9jDoKKJkUj46NEiNzyjdMSNIfY+1CuqO7DmiPhXp9Yw1JcttW+bOx6OGJZ0JXKTaZKO76JfIp
G22Cf8SUrcSQ9mstJxEMMQhKA+gXqYd+iJiwvqlsQk6t6ypWm0OtN1f4Mon9dZ1+C7TWWKsN8tAV
PGmxtpkaHTBSGzEfr5xfMJo114hTjY010JbkMbqyuNtHEdagZpQuvwiculvFzJWl7Odpmor5RA5i
EvD80GoiBLg8V9Pk/j/2zmQ9biPNoq/SLwB/mCIC2CaQM5OjRA0bfCRlYZ5nPH0fpO1uiy6ryvva
yBuTycwEAhH/vffcR2tpUKRgIWcPxDLGOyxQ31QZ6ac0Do3zAhZyq7U46r1KTMa6zNbwXx0uvw8M
40Kf0TYN1JOAXAJ20w9lON9m1CvDITJoFYT74WnCbm9NN34Q2Ge5JdKIIO7Q3uZNmpPlJ8I8ZEHw
gPxtb+yeQYYo9dm3+Jpcyvr81KRDJZuCl6jV6wezUuO9ObnTOW5a61HGbvFEzddqhJOnlqCzByqc
lV/TP9ESW2+Exj9RMgWkavhLzVS9jRMYBVwYylv6ad4x3nV3/aiy77INilv2qW2/MNXrbM4pTd/a
t6wx2g2Re0WIP8rrR8FgyK+pJzvDvrRIg5jVnr6k6M3OMu4tt2xJRqT9IxdhRo5PzzDIBQJbnlTb
WC6tbxj6vbJb2+/MhHnUYln3GZRCX+vn6k6MxlcxNHJbQ0Z4yle3gOiU+amj13fXjoQ+uDKiFMLt
oEvPoLOWqLYJPopa+71RNfFZG6RL29w4Hwonno6y4xFJsas8apiOjf9aYX/9TxQgi5M3O8e/3yc/
lX0X/Y//kpbdD5vl33/wD0usRKDHhSlwZYMO4XD5f5E4Q7d/QfakdnEtov/RFit+wSRgotKwJf6B
bAKJE7GG6mA2ywhJCEv/RPBHO/pxs4z2APJzZdJJg2ActXg/bpZdnbFXENDbis1geEAzok7KxqWV
r34ttTq3dPbLj9bVzbX6uozV4YWawZqS4vqaV/+X1Zq5Z9SdcyDriz0sSJLCK1bPGM+haJtiI0NA
P9gpgm+wOsxsrGYjlrNx9Z5hYHE8bfWjGVdnWotHzV3dau3VuFYzVHkCw0atd2VyT1thfmuPQ/uB
CHS0aVVn+3PfZN9YFmnqtT4mWOSsCulZBf3D7M7dY7L66OpRYKnDoZU/YsjrT0BNoHSpiOj1tPrw
4DrEOA0LbGij5NkQ4sRJVueevXr4utXNR9B/kfSD6/ptIzXsfuPq/BuuJkB1NQQyjJkPy+oS1Fe/
YCVqcaM3zoFChcdq9RQSfDEAgBjnIpjY0qzOw9DBg0hzzryp6V7fdatDkQum3DLpaTb16l+MR8qe
UxyNfFk5oCxcjkpoIFpW5yOM7HxDMJY6GjOcisN0NUmK1S9JgvmpFkXtMwF/xo5pfgSwLZnAqOFL
sToumdm7JJStMritmhkjGtn8mJF2rUWGfh6A1CxPOEZTcGUx7UTaW0rfkloQxWj82PWyRa+gCqpd
PF2UNqZBG7oTaO5kfgSF7dy6oatrKPs1BxeCVfW4z8ncHGiNm/as5RCyYxa4O0KFeBwJ5nTsjQB4
U8GyABghNh2LG5U2OllIzgdbxAaEMaxnpH4TNuW3GhCLSvO1fJrCZU+8aWmaC0T8WIsyvJJMethP
WUOLQ6UaJk5rJ4UHS3LcMgPBaIMdCjw2+s/AqmzYVTbJ+BB0ab4nCugooP9qGYZx5wbRyiewlwq/
htvOxEg/jnrf6k/aMCNobbEWIpp6bLb7ydyBd3AmJEq6YIU+Xca44ASww6xSAL7KdAMSTTU9MKxb
qDSkI3stDzGSkuNWOPkxNNbA08AnUP43D9pzlIoYRNqicphWMp8uqcGoflO49TfBoIeap9oMHouM
RmzPUoKDQJJW0XMgCgYpWjKbhpdXs363DKMcdhnRqsDjAFByxAA4e5oTIyIOm2nbeFFW6JGynJ+a
IFKcLBlefUohYGCKrqVFA5bNRjHMw7s6mus7WcfOthsqDneRUYwoaZUObYZ0Xc78actccDlA86/u
ZdvgLOVY2mPQM+xlA7SmhZPnGs3RTJLgGDFEYlCttHEj2g7ydNhNwjc0o6NV2ygUX/mS5ptEWB07
6xWAGOlt99gPqrhHvwn3yDloxYO4cwFZfgiyajpXWWVCjEex+PLfwdF/8kDkCbHOmv/+gXj+K+Tr
tx/541Fo/8JTkPkP+DcbZq1BQuMPS4R+zYCbRD14WKILI838bn6zeWL9MSiSvwCR59nC3EnyTGU0
/s7c9lOzm/0uvUQihMghYFuezsBt5XuzWx10TpaEk6RNqnKg7klljL40Royhayvw9RnCFJZjYAqS
Jbgtixn7eSN0Qrj+0uHIfMrKWqedq22l1UxbGIuNDU5k7bRiULJSaFWNM+k2jdgZqF3eDLk93nY6
EMCJkY3CGW+32tp/BWIwlzcDaeC3NIRQZccq8AxTA60eSbXLbNedd20d+qgQ85PmLMxyoSgSD6xd
sqBgaFwzWfam0bT6TUGTqfCSVmfXqDC2tQc6Ifv6HrtB+tTU1A632WKxTcdwDh2WDHZ1ltie1u5z
97NGU0rJS8xy2U4oQVAFmd/x7JyLHFxg7NxRRiG/1MxmfM0tx68xDQf3C5vYHXRIzAnU4a1jMHPC
125FpBq7EmZluuSQVoFdfJWtqD+brcV8yChj9w2E6Vs2zbeO3iQ0tKT5fOSf4DL00rqLBfhMaOLG
tktWJhSDCP4fy63ptymoM9LnWacJKBwQbCrlAjTtS+zAdoB/cDTEcEBBzclF9u0zA3dgWs087pdF
zQ9ua84nVu51BBUT2qAzSosPyCLxN64H8ZCkw2BtB+rX7qK8cPaTkMhQ5WQwx+mKD9GiiJ84fXmP
vVx5wxQySLd5mF9sMZifNIwj9kbWpnVX2mHvuxVRkVwpdRxiY0F8F/Pgxz3pRsMs+i3ClUnMPph2
Fh7FAyCzqQTCUS9ftTmvdk6caXvoL8vRRhh4Yz6ljhGZ7CeAasFtr9XlTamFfc4zSpvvpn6Rg2Hs
psHumNeDvP7tvxz07SG6aMLE80P2MlfY0+vBtYvmlFR0+hUnDvNjVvqqC+rE3XHs4CRlADzaDCNK
0bJFNzP0t/+uqP/ZikqVxk9XVE4q/Vs6/zCL58TAD/0xizd+oQPKoCYT5/B13v7HKN79BWLGuswq
l9rK9Zzwx4pqub8YNlR3HRgHUr6hsw7//wqLL4l1kRn9Pz9dGMz0/yxVwvRYm0LAMHKM4VFwdRT8
yexjETCnRxA75mDg9mc0YKgHarcXrnG8sXGt3NOgvybayCC1tu1xk5SO+ziUQ3egGmXYW7VR7xkm
0V39p4/xX9iQhMl7fPen8ZHwJCK5SppUfy8STK2YRWqC6lKDqMo7bLv6nbNI1noWSZFujL58Ym+q
2du4CdiIMr7UqoHSDLbswTeHRoGHFq9n3WyrmRaXT9hPw9s5qkdKB7kxv9BqwD5zC/Zi2RFE0Rw/
Exgk7pgCwg/wbdkBVR/TYPFtPS26yDey0U4n4hPsdz9G8xASG9CwQXmuyOpHJ2gzqqFVy/SJObZ7
cpreWOf9yXYits/qHjX91h0d634xZP/RLWE3jk1N/JoVPEP7oPjjFcad/oh9qYS5AV8j8bAqEUNz
UkY/uyEwo+zUWWUGAnmYkTuT3rIfCvgUnNDGXdEEz1MQavsmXppTHSbGvu+t9i3Wo+bOzcXk0/wN
XKk8VaVsPyhAXveGO8Hab/vujIVmOE0ameoYMDELNEPj29q25psijHYa5j+Umd4oHzXb/aJbCbSI
uC1LHwpT9BmfQ6U2ei/Gi8aQ+WHpU3dCPp7b7RgP002oFoBjYXbXzD0orMVly9iOkHJ3TqrZr6Bh
EzBvESwXjugLT2Y9lo/QzqtHHOuWlwdOfi/Ak2PPshojvWBkbjlIhg3KCG6zu2Wptxz1zF3tZhx5
mRLjDrGK4yQrsc+yvNhVqotSqLay91rie6utwTjgpK62aoG7BGu+JjhWlUcyePCp61A+8KnXZ0em
zY7KUf0UYnoCYCadE0evLPSDQs8+Yx9qP5RrWUE9Gkp4aa8RNWzj5daiWeHGgpzyLVSR3NlBV28R
W/A+AhPzsnlotmZcdhLT2WDvFmwtQNY4F7ykXPZYWJrJY6NN4JRVH4bvMN7iOhnOYmz7bWbHLrNo
UBWdBkgB8r/FG+osfFd5g5y0mPDM44hLuslVsIP53VLMVdvyM7WXtqdNGc9Sx+23wh2NFzMEJ5gD
Jv/VxBt+oazQ9p1pag52ZaO+0XEvv/Akxo4ZMD09moNM6OQYrRkIYQeof88TGGlFibYFIV3nCj6L
W2cEIBG8OY5AeNkw2dM+QAllPg7CoDu6yCZntxKl4BiiZ8dBLQ39eEYW3YTkw870IPLpAZtaPHtY
c6BDtMtmU0CUcAL7LR/tUUJUHJsPsM+KGzdzXT4+2kIu+LEDPCkc0UwnXu+uyOHsEbLfGPbkzawM
CcUdH1Shx2Kv0lIe06756Ebj8qpglgOUaO0j7b3lBtsX+drK0MpbVsLxyxBhL9xgkJx1igGWwvDT
uEldj6fyOG/KtlFfi0C5vS/qBkZ7SYxjuEWeso/YIyAe5kS7E05HFEzfzKWCGu/Ow3AsQ06hcEcx
A3oJsc87Qdy12QxxaN6hPI0PshngVpCjHdiSFm12hy+xQmWjbZEc71BqZNKMavA5XMtbyXJwziMX
DGMfZPkzG6H6Me6trtxOmWld8E/VN1q96jNqlWriVbSBjaJlvtHHtq+voo686jvNKvUMi2gu2PCj
+9ikXKhaJSGs/6DN5j7382oksXbVjkSbpm9JiBGBHOuqLhFMlfctBa3a58oisYh8gBRlXlUpdVWo
wqqRzc5ehatmserTnBvjl9CJkCtXgctYpS5ig/6iSa3ZhKsQBsUdTaxb5bHIHZKdGofmSVgl6llg
yOhhrc/5VA55/KjmKTcObdOG97ZtV9VmgFyfeSaelq8lY6B8Y4NvEvtmle2CVcCLarc2NsKYhkuH
dIqabIwi2swWfSjoFl2Eu3mVA8XQ8nIkZIbvrO+oa1o07mol269So6HTY6Sy3NiszbtktpJjk5rT
luFWvWVtmI7JKk0Oq0g5pFx0rPPc5ClD+c0MfxZZYok0z73qm8kqddJYiOqpZnNVQFvEUFQHdNGB
zN+5wwl4/dpwc0XnnNMEkVeLNzkYattG8i2xmN+Pjg2jhHTIM7JWdUw4LNzTPG7wqvmbWa86Lb4P
627SqhvAlCw5IrsJZydAusW6rPqcgIk2YWXJiQjpgNKryk5uZ1Gqvc3BgR+gfuYOUx2q47gqyGLV
kk2zN/08mpGRmFxtYoglX6mmrh8a05rOtmBsiIssQqEWEECGVbVO6eXwqVaa9uu+5DVb1W2uUmF5
9lX0tq8C+Lxq4W05YGHkcdqcLWfV0yl6Rzg36B2zt5TjzbaPzkYB3txocelPaG/Pki70Yluvyrx9
Fennq2AfYqAN/OQq5NNGiKjvRGrkLA0Adw/lCNm/Xx0A8eoF4FDM1xW9aHYC1h+3z+Osy6d0CsQ+
uZoJLLtBdyxww13aq91gPbbfBWmBatZF5dd59SV0q0MByZ7vK7gaFzQrKb5aos75nfgazNXhQMgc
+Uytvgenbo2bluWMu2j1RYRXiwT7LuwSmdNhnVC0X78Ad/jSaoaEAU/1kjcmbnVKEHkZa46ORswc
u0EEzjAYi61W1vnjGOndbZkk84NNaxsa6QB6R1IMHIJzNjX85+1j6I48rCF/XyJRRvgquMWgVUpD
+GguKC10O9KqJ3IbQZS8mQ8gEI0nmepXx60B9zaL5p5QW8Z1gynMZpsnpbudDcakm2ZslqOTSFWi
2vTypqNHw97QE9qbayPCCsBJkuGmNqj724ysI4nXFDbcfbYnzSczUbP2AHc0t/c9D32MziUke51r
INi6ZSZPQ9LwJLCJTtWHFHbw5E9jQJlDp2z2X2VmOU/TZNiM6JTWbmzIAmenSVloI9eq6KqQWXJp
ojmdCNCpHPXamZ4bYhaPqOvqax04yb6UyN2bFEv/mw0T/+Rg3iz2ddsAh9BCKjAYfC08MmoV9fuY
CqJ7HNoR0MsqdilyUdV3t9Dt2Mv0UD9WTpLpTOYHyJBWL3V/YhJodWfpzCYQhP8e6/6jYx2cTuZX
fz8ouylpBvmLx+q3n/rjXOf8woDLxJhAIfv1aPd/szIX1YiabWD0a8PZb5DF32dlK/be5NC1Nn2v
NuE1ffH7yc7kF7qcHOGvUPXJ1ugfzc6sdyc7w+AGx/wF7YWTogK98aNsFM/N2Jcx81vBhUsheKIZ
jzo5uoszkOMs68ShQARQ9GurqeADYZLmOOdFcNKaODi1PP/BrGCgLnVZ7Om8gHUHrBfdmf36B6fK
2T1ElUAM1wGFGci7d0ZB2iBZ3fhTFGbPNuGYbbW6mrnWA3gNdjT5hakGn0Re4xmh3oy4oLXlwDok
n3pwjv8mjfBueMgnsAa0SLCYFp+ptZ6v/xxkSdiscVDFjcxWk6KzoHX37FnQALpufV/83X+6RP7V
kfXHA+v19RhXWjbZYEcZ7+vsTA2WCY2z1fEKi4Ms+7piGtZ0yO/h7r8NJr3zz62vpCzTUAxaBaOF
9x3PC7mZhad7Bg+Hsx8DegzgsyB+iOP0aTAzez9HSfD4j98ePQ6KeQEXE9mglf30p1FBopsYV9h9
HnvJerjRVp9AC8dH+P0kSAn881cTTDhAkcIeU+/L2kLXQZTJk+xo6KNIL0WTL7tJwre568Fs/vy1
jHcS6/p5uoq7FWed7v61r3RKQ/iGqR4f62jKyLpGnOX9ugbL7qw9f9EcTXc9x/mbEVv3YckUvOy4
hZf4879j/QT/5Bvnz1hTBBQMk8fm3/e1zZnRqjnv2THWfUqOhAd968swCD64ssKH8/MX++s1JNCU
eVRThke88P3kp+GgbHWNTI6VsSwPVwxop3EHV5jSouPcxvA9VOHiQv756/6rN6lIsHNQlozE3ldL
ptS5xaGskmMx1gObcr7N0erHcVPE4EL/0Wut6Umy/Oscja8XMf/dGmjH2ogWBU4/5jyPR2ZGuKr0
Zj6HgCA//vy13q2319cSpG/wEijdFtca2j/fHjn5+Ya923GZF+DhJbuFUxZbw+9uj7+999+Pxdb3
hI8EFheLDJer+eNt2MusbWQ5xTjNCYyzm+E8gVxXgOsYLPEUxTHNUBNKabxZGCAFW05a0eXn7/Xd
tbO+VyBDLHQrR1jq768dDmdpTP6Zv2Fo0TuMoWbesGhUhllzTtWEw3FWWvO/Wc/fNfn+FoZlCZLS
WqsOATT8+NaHULK7C1SMGhlYn5pE5idp2fNthcywb6yqgJCplRPZm3kKlUccZh6gRxbTNxhcNTlZ
ZOlTGhT40lZJKIgD/lkS7Tff+t9+Q//q7xR8MUge7A4wWa/LzZ8uhVRYwbgoTTuQcZKvM+n7xhvq
jGNWkMlRondwBENX1pRiFz6mF9i09MGDIw2OlIjaZ7dzgyNWXOvW1WSrdnKIysQvI1cN+59/k3+9
ah2dTxPJTrAj+YvAprsFgwAAs8fc1ecUo7UzpZxd2m7789d5d9dzxTg6awyLGxbONaH240cSa2S9
AsocoNcRrXPjNb1TpKU4I8GIp5+/1vvl/PpiSjnmNYADJePd5z87rWjtKWE5LxvqW5xg8KHY9B4G
UArRzDXLNo3z2egn9YVGU3D/pej+zQdr6GK9E/+0nK9/hoV6SSScTQF/zrv3nDWVZnJnBAfVw6w9
qsxkMe3cyaqOYV8tD6h4+usVzBrD4kDiqqIkJGyY0mwhgQqfqfIJTm7fz/cYKsjltXVSNV6dddQ7
mynY3CwCjxsR4XpcMiv4PuCUfHbmbLkAqZsgwdWNfFI1CTha3sR5aHQWXDBB5qPoU/kko0o/dLg7
b6KCWJ+vV7H2AfPB8jBDiOg3GQOnOyq6upcsmPXXRWMbh+aK292diuB77miiOhV5DXipAGN3wKlt
t4xKIyIylqI1DkJVakMbrU37JXID463oc+vjCMWOIqBgyDWvJcTzPRs6e/TzDuvnlvrc6IJBOT/Z
gqXFaIb4tY9YvMs2pHqn1BwTny7bxpVn4uCFiN2w3+mRtPejDffYL9TUfnMUjN4iqdUXpx4b5xGf
E9cbd3+Y7tLS5eVx1WoPjtmyduptr74s2Ej9KXXDi1p/tuWgizdfUGhRxyP5K4W698EtrfnCcyZ7
rut5vLt+vIEkBm0Wkf5QWXVEWInac5oqjFBaJ1PPo0tKi3C/rYmCM2m+rla9MZ+pmmCFcoxJ+1qU
KVdkqU8EgLLMWA5wVvjsZuHEhNZ0PfpgT7H9qW/0TMO/ohf3VmqqFUbF7xmjOLpQ+BL6eFnj10Z3
aZcImmYO9y6RKYwcsA+esHxbH51iwJqqmXy2ORnhV2wiJiTZ0n5hzKTh5RItGcsgzpcHMTLoor2u
me71oZ7u4hlR0le2EX+lv52lCVvlszHrdra11uswHynYc3pgZd4cOV3sL5PBBsbI6SMuhoxrSeXd
cgnHOQMYy9ELn0w7EEsWGsLRkrPP6aM1CJzwBpgC0/gaeC0X2BZLcPUSjaGO1uJw9VLaNdEyB4rx
0EecGHCUah8k1qw1HWDPl1DLklPqZFsXHxJWaptuLC2rd13CtD+kKGKLyUdQNVk2JLGi+Kg7TXFG
PLE9SIGxL81WvxhWsZz6WpcH3DrBh7BT29JeDf4SVDSV9akXBELd5Yvap/GCvo9VbK/HifUFV9G4
qewcCuIMXDDtLR+28cLQ0TQ9AwF/5044Ze2myFKPT9V8duPhLg6L+ZQYdL9GUPzgMJYn9DrUFg0r
epqP7qbOeVsUnzYUYoLinYeOlG5rI3sJ+0uD5nQhRHDXTPR+oojTgzU7NhMS09pRSPIRwjjVIm1l
njOSIHqf0jjYYQdK3Vz30gXqQEQFFfo3xp/YjR7baH51K/Ol6rV2m2i55c8SZ57JzOmo6c7nerXp
ovBXmTdPDk+1vjK/5pZ9WiyHGm8zvo1kjG3Ylh+GITiXhQo/d7gitpE9T6coy1mA7XWPlJvzrYwt
64IbvH4w4qw9aQOg5GWRN6kCvk4lYJ4oAgjrIhK2vwI0rA6zUSa0kwVDUG8opElOBvBjYxNQiXbT
U/9mMtaB78S811w+isW2dtOYBT1GKNM9d4ZR37FRsiN/lKtwpkhPkqANPzKyHJ/mUrB/KNuKno9q
WOZLqijfCegi3+GNdL4ledwcJzpSjgyLc16UXfSlCfVHR4zjoxrnmdavnjZWnj9A+MpqiLy4qvP7
tmMoqLjTsiOSJVsBMy0Dr5nZi6QOYlVayNaTYPZZiooR7l7AE0GFrjpUCUcfXAipn7PN27mLzqxr
HBjpNtQ93bV690wZDE2iCG23dr1Q8RQSIkr8jphtskPTBP9XtemuSFJxr/dTu5OqDz91STieLUrT
ujgYT8nY4+2DWeR+pWGtDTaiMNuV+d9ox8JtohPsOZIU5ui0h2XIuTAT9g4cETKNrp1GbfO5+VyQ
R9jRTDp86e3C+d7ZE55JWRgAK3KhPk0joPK9LmJKeKiQ2QRlz36smOpDtSzu7aTV8qHJUKrofK08
ravVgRO0CwvBMLtNZfTNrxVA/C0U+BlIgHVRua1f3IAGZc92jRvmyAVbmEKRZsjchyyooQIEVmBx
+E8imzFFY3zQYo3pQ5e5J75UUiECCisPYVighTbYbxP2uAdFcug41UXrO1j3fEdyCUB5JBcShGI/
Ki3bSfBv2CZj+2NKCuo+7FqLmIWRHIOkNtecd+xb+eDVQ2DsByG4sN3iIhkfeEHumvfUAoHzqJV1
44YEe5pqAZEhasPPnbHcU6Fa7bKldV76jrfEQlN7Q4vI5zk4IGO4T8LZRxTxkZkimQPSNQifC32y
bnvdKe/0JWDb71ql3FTEYovtnGqlTdxryChOLdQXkUqGOGUdnmEIOqUfBHZ2pJxq/rXjOH7TQRPD
36RBXiLfjaSOns0z3XbHZp1MiltO7LiFsMpwADDKU2bMhGWHrrqMSZ7dV9Co7px2mg5W3UbgE1zn
kE8LIHen0DYYDZxzWU/BJemx7NjhkL+mBerJNq3c+pMdinonJex9V+QxBl1o7UfiFMySkqx5Vm31
NedX03FUIh+4YjEREYJleMHOm5AG0loN2FPPXtYx9M6ro0LQQE6azAhmOgNL1HjRx9s0N99GjZqx
uK8CzJOu1W6LMJwvyHflqzKKgWh6gtrh8gxkAEv1lcBJjPDW3Rv60L4mTcqa/Vu9TeA2KWU3g32t
vqHaeS3CkTZnxY1uF1P0PdJIEnVxC/cstLuCY1Knfa9lVFwmUZm38Sj6j1oYDK92Eztfwp4iM8hs
LpLcpC8Og28x55kCNFLkxUGT9nxCb3XDbS4HQCKwHvU0r33NGQjaJfWqXI6p4bGLwvBgzsrvMqDp
0GoCkL3ZRAOx3U0Hu0j0C8SrDKjqyDMDKWvOvQxOhWR3WUaki5N6OhjBis2lUqD3O9ssWc7mJXxy
rMScPUInUIDdiceIwXSI65KpvBe2i/YBT6q+c3HmbyseCntLr7pTtcT9W8XZaFVHMvqYcj6Fxom/
BuZ6KTNR0imNqExKJFC/D1K3gudZmNaLZlYaseZ+vAkcYi+ioFzMKPm1kz25H40iBrTWi+ZrUNkx
20kde3Qbf2RjHGy7QBKhS+tHaT1TFwddeWF5DbKAiyp/puRK3+iO9qgGkuGJKrBJK2eHRUtumoJc
Ev52mpnZnPhKRdjfC0p1Hc7YICHt0nOn+DXNzKjwNM7JpOcAyM3EzbGqmXivx19pbnP3nOVtr0Y0
2KVgtr00lyezzYVnxAMF86Lf0YAdemA/NV8FXM56MhnnWeT0txkQmfnFUdk7e3Ou002ez9meROf0
VEsz8szeCS9JMXzH2GttcCsXGzkM5okOK33bMs2itmrODq7OeMCcBogBVdPvK+gslIkZLvhTm6cO
G6ET+TybHGxc7/Kxg//bTclNakz7VIbs5tlweRyqJTa+6W4k9ADsaZIH0UAy0PPB4WgCrKV3IKyy
FbyfjBaNlvr0ndO1v3aNVm4rrVz2hqQdJ6/dr82s5btmruS5q5gdLAgfZCUfSKK9xNLelTBv2Ke4
t0TyTrlWfxnz5a4HFwGa8yPIngtLLgMjgKJn2Szfkzp8Nlz3UZnFvmI37VEH/+LqMS7ClCGl6txX
Jm+ttzSry08zxMcyi+lzLM3XyTXYWIHB8p3IPGay6XxCGLukr3AgqBG2rHzLB3oHzJypNlkmTgTh
2PefYCi+TbS/yqTHdAL0YPRIMoSfdEx6CxRQJyWWgPY1zzOU4NiiX3s71PFn8DLtgdjKjag/6s7Q
Ywyq3W3Uxk9Yu6ODGt0U2MfQf9bMxtlOI0argTPMTd832gFXwXqbz/pJWLH6DHqgQFACsAfpAWhI
XEvGo2OyHieUC9SlBKa71fEorEQCudx0g9CaXZRPj+RX3G/QnWftpFUZA51N6raOvjcHc7TOqN9t
mxC1om4bjt36+8w6TV6AkEtYFLSKdMcQmiEdH2OK/MtU0046is0zY0eLIejrlP3QQVm90m67vlOx
39K+W280l6GpbEeOnCl9HE1vBl+cMA2+t5TgcHW3eGw3lMlzEIFzk0H5c0qORSGXfe+XLC/MmVZN
Yy774EsfckAItJozRmkKgoQLtBiecc9OHcwXzRackmOlbbu5lvptool42HYrpiDvFcvS2CaWVxjr
6cSIp+HXZAFJlcjZuNENmliMkGq8KIUQEeYaQ+7QVsaj0YpuK0XDSQQFVn+lulyKSxcN65EXfOTs
RaJqP9XFwNYh06S+rwwgKOzt+dWaLOhPKjmgI89isVOG4nxFIP2rzHLTjxu2fxv6Me5FQzAdgvax
qJA7Fx75RzOl0odK1+BkRYKhAO7gi9MrZgSrUnN9vWGtZ5pxjhwDCReJcwIwdiAan6//i+vkJCgl
x/4rokoJsRxMWC0vbd5xBgPXwZTAsca7kZZyX+OwidazFPKJAof5gmFYbPSoq3fXQXGVUb1lTiUd
OCltTVkeV8Ax48jd064bnPIIggUAn2Ivc9F+ohWENxCTv8DqNC248noIPnFmfM57nW+9SGGKBTQk
HxtRTPfpxH73WuO+pD1IsWqeO482eFgyObPwSnDsqwcKBT0xJ/WerRpn+77PVEPdTjCmm3hhKsLw
ksWgByUa6HjBib6Imjo9Pc+5/oHH3FC0Wb0w/Iv3epowUXSWs9s0LYzzzAW4w7ODmGwRLuWuS8fR
vsmgUt0KDCHnMqE/vl0Ew6tgSU/X604DSrMbEr4Ba1kBbk22PERdCwllmFbERh/B+dcQj1fGnr08
ZP36mWQ9Khtxiwe+q+m2VMBOJENKzzZocaJ9p9gTZOy2LTVlFzUHYN0zOFol3ciUXHIFdLbO73aH
9RdmiXwKTVfbuhFNOViZW79TNEJNhdI/Q49ZdjgQmuO1R6cqOz4tQ05csIal5svAL9pi8HKFX4+a
/jkCnpj4aZe6+7jluo80ttfARsC9XAdPBnUC3xfDZqiUADyzFl4ymbTyhVFiQTt1YQ4fOxMftkvt
yGmIgvKFgM50P+N1qzZEl/gyrR5tcuwC2pCN8iVVLaawetIswA9DpuMayALjkcMB77DAItoTHyZh
BZ0WJJxbxOYN55bmE0hD/odcz9JTX/IxDS3orzGlAOd6w5ptGn3Ll7x6oTeRl576djhl3RwcO0au
pLIcejApqvVCnYkc0ShsiE2cnll8X3vRUhljxBw9uuqt0B3qlhDz9u3QUIvU8e10XcDNPnEHBv3s
MrEo3H3X0EIVlhDDLEbglyqHhNSMeFm9RS7GOQNlcVdYMjiJzOIv7zj5CL9gOdzrlmD4gSzq+GK9
CkYiDzeiEowUSGsAdXIw921Gt+cqUYv+GuoJ5CvpaCUekcrdq7IRgV9yOsUByPro2nxSxIG1DwsH
gu8qqHjDbrdeg82Kk1VwXk6YzABiOURwD5paiXWO4tjnyGj41ZH/y955bMeNZOv6Vc66c/SCN4Mz
QfpMelEUyQkWJYrwiIAJuKc/H7Kqu0WqrrSqxz1qUyUhAQQi9v73b+iTVzQY4yP6q/F5XFJwkfNJ
nCM522MkPhX0ExOPtAuj7aurZOjUfaoP/qvs7egtFSPsYScpJoxsOJlsRHJbQoAnMiwQzh36oI6e
Mncxy2pRr0drTwBwrwuZ/tMZ7b9WMr+xkjF1plE/oOfrl+7lf/4Q1169lN//9/9dvlD/vVSvP/LX
//xDf/IcvMUPG/UIswF7YSXojNH/ZLB7wT8WO2q46A5VMRT3HwnsIFo+6dFQcXCF0mFb/JPA7v1j
mbMaUCY8EnrxX/07EqEPM34uzwKnvEAlGwSm+3HCV+kqa8okx3YqNrA4i3q7uojHePpcwuJbxbHj
/GbI/9PABH8cwHzQfn45fe4HUB/cIIFy6077ccyaW4LRcaokZf0304Ofhnzc0sJZQGeFhuonWn7n
tOCuTjLup65OYXqO9W0uGrgEsJYIaBuQ5pEjvMaNQrtrB2/8zSwTEsHH2QVjfn1RN6MQ4CH/NGVU
E9vl5HX4lBDnAICWzNvCS/Q93ok+GQRJcyQPosELnDmnEUpQlgXFSMkLbNnHPgEE4TklaNcuoX2l
lEuGXVBQDPl2MnP+3QJX7HJlFdrckyCRcVA6Ucsm2fnT9FZ3U35nZT5I4IiPZWI77LCeWwPZoEuK
iFnZLeMDvFZjA4sHHLkJ3oBvQzpfPRr3rmXKq4YW+J6eZ7zpLEUiIRFBL35ZpvoK5uD0lhDEsu2x
hXgoFAzmNjsn0GnFqolSlGaDMCusTXTxnKSTfIKtwh8cxjS4aNnvN8y2o7ugB9Ve963UxYFHVZUQ
JBm0rSJmxNZu8cJkN/eWmMc5Ne8nQdyXN5Ks7dRzdSHsAKMCToMilF7a3Iqih3PXe6gTso4shpa4
8svZGnFX18thDbGjOebKrG+p17DNU964c2ujOJyzDQ2r6x8yGrGHOpvdT7wdzCDgZmwqE8BXEYXy
bcKUYxUT/rJKh2r6nHSReIInzpupZaXv3YEIQW/gYLO6KiA6GJ0VORXT26Dk9Flv+CNEq7RfXBS7
F9EY2xjrdca9AqT68ofzuxDBRVn6PBH0Wni62CXJjqGrZj3Mi4J8cRlhg1P15gZILb+TbhKEijHJ
ChOi5ptNKFsY55CayNPAxW8P+EQ6ua1qOKh8zr7Wkb+XquKA94m8mjw5wIzL6BBaq2oqqJIQU2RL
PmY3AyBjgTfiPBrldzEpD4B1SX0F62JhDcb995zE58X7PN+Wha6zaRjiOR3r/iEKxHwZ1D1/FY7F
O4nsIDRG7jgYNHkVoTbDMrl2rs/hr3bAvbj2EsAaJCX5pzlLsU+q/jvT8WmHYM2+jm3eRNSTlmlX
clqXtI9k2ABPvQ3EnryAUjoEUCLGX3cjJSQj3ii6c/Wo/ubAIb6shmT6bA4lHn6Cj6Fo6nwLFte9
6plr3MOyHtZQrehVNJ5tG/MeUe/xqJclik6+/z6hldjO55jUeuZN2K6YdtgITG9wHOUTEX3REW/b
p0Ej1Q9dOTFU/huNN+UXKm8ia9qoNJGxOc868MOi8lAPscnaDE0tT3emTgtg2wQERF4PduhJZvEO
i3IpicaEF+V6Wodlpy2vJQOC66AbnGs1RcZ9lbbySTmueNaAlbCKp+VqzEg8W6UznTJLcz6N/jIA
0DLqLr8axEtMaVKtUgsfwKDBKOd8c37CR4Ahj3Y3TrLqiIjEhnjAEucL0CfcXMGAk7x7no9BptBx
LLJy5Q56uu8EWWirMRrTnTOmkANIIeE1lSShLEOs+hGP5uAi0yfP2hBZVl91rhn75hc/D4zcfepF
NXTf0kbZT6lRlXm8x56gsvdpN2vVxtL1QV1O9RA5xyG2lH1n5QABtT1Onw2ffoaIEXxuDGds4BnN
uG/CtwIygRnI9IEQBSy5qislmBN0rLCjreU3nd6SWqUXd5qjruxSlltYys7tTNMUOh7YL2nxYMjR
FYAJYyePjyg25+RQmvnnFqrVBtqv2ih7+pr6TCTtXr3miVkeMI/6BkUhOSSzG4eVoeSFgGe8KZx+
BFqNu1cjbetNnLansaujLZoL44jZdrA2wP1XhefE61jG6ZU9M4ADU+2nVUOH5Gb+UcsJw0qLuppD
GUT1AYoA8gttBA/DzCss0xyWfVkUb7EkBSe0SETZ4fcyrRA83k1kwW3MUgtOWRLLy9bNhq2b8MHW
WWmc0ikaNyrwiT6feJGm0esHHQifVE+6GtlZPkY9GuEzSwRRj8/ULtE9ImS1Evd+Jw32KjY+WSXO
ES6irQujCqxiY/Lsv7VyGNyVUwfaHBL6tOS5FF2/N2UKE8MYGNhG4DEtSF1l6uoQD4EBwhqg4nSi
JSImarEeHdQudmLOPA5wf9tjdhUSgNZtssqt7+AqGmj783YbgxzANc41+g5/fPaXDAjya8ZTNcZ4
BBV5/hRokfBW7uhOuGP34EyeS1sH+QAT0d62qBCt+pbqDNhSOZZ3kOyv+npiE0mwZZMmyct8V5c2
Ycsn5qozmjTdPJijxNQpSfiq2g2NVR1WWCGEoMnOUbrN+HkeLKjWGTMMv632Q7G2ek0ABLvziyx0
52BO5XwvMW2O4dwHOFc7waFU0XST5ta87iNVH3OkLyvXLEqWe07QBVFnDMYs+9bDN4TiYDLw1mgG
PJqkv621vsSlgZH1gJXWGp/o7NFzMfPz9WlAPTX1oQp6bYvoSQDLlbcF1uSrlnbjkKYWoDbelutY
i4OHwo+NXZGy4l1LJAe/H+GCE21/KQJhMzwZtDvIBv6VUc/TcSGJFkzJg4RRv9uU3+24vkqi2bsI
RpS5WFMPQL6FYzqM35L8Emta44DNMxOZNCG9pCCo70lBQ8dq2hmQ95iocE/JxFQPS4xM/y7LsizQ
BVbuuNYzvT/MqGAIgtCaHVGwztNQqJSBeZ5mFzYeb99KK3MZQbd2j5etgQea8xT0ur4fkhwTLxQi
AHPE5eIvkjj9V5EZYtUVw1IXyPqW/JUljruv8CZBA3NC6FXkYTR5GflEZpkcGqtvLoK6FfaqgbuP
AlE4KYYkqBcJDhPO9WRG6X5OKvnVlPTGzBiJTOHd0PgtJVKWWZxDC0shc1pkV5h0sDnL7tVniChR
Qpki3+p5S6yAZBd+qwqCkuWkRXeSSSrfAPSLCy/SZbSOl7RgL0lJe4NJfD2nqXanYXfG7aZWslUQ
6v11jFPBqqTISxBkjvLrKNUsN4nDSzJmTudJURX+UXzVqWncZ8bUvsrMy/y16ZC2FBolWH84ThOO
FKl0P42IAMgVpmCsNibSm3WWmMUBnlZ1UTTEO9t6CxdFDGzGTYZrYykZm6wTp+VwD0pBPmwcqIfU
tOLruKTSqBxXXsXz+VcE9aOFUikNMftbNmWIDW9dRk2SBh7lSVDXxg3bYPVqSVf0aw0+G6c2HB83
ZiMKyyXEmjH9tMOlXD0kKaAGrm2aX4GxN9MuLt3ppOMEsElUP6zjmLNcUGw9ATmXq3Zayt/AFU9e
NxYHxjF6aMW2ce+X4/TmTzLdYQomoMWkAYDnAAdjciKdYbm0ikOOpOE3NDjH+LmJgKXs0zTSzBAU
+pH05SgNisA0NPuxZi9BwCOzTV3ikiCgDawl5v7rILG8N9hv/R62W7zVDPPFz+SXoYqtTepwTGnO
EK+VLMVl35j2U4918GU6W/lJ10vr2bTzZLwk+6fqT02S+ECfBGsjppi3KcDhruQV7uMgda51I5Eb
FBnUCUt4Bgc3sPFoTSc7oYpqajWsxfJmTVtpd30McUoDqYDkFOsONt22jUS0ZW27NrTrdhDQoAny
O4BsUSvRpBBdHef8SxgN8OobuDUMy5caCU+b+rYq6uVdBku5lFNIIcZFbILG9ZMNBrvByxgHCjxT
LzIFnI1vG7V6n/QPC6kyQZxlFs+NBWfr2BWzhxomGmIeUspAXhvbjgCJOE8w/pRWVGh7CwslGPaO
2WkYnHFDlfkgIttgSLNE4XjuXMQHVE3pmmg8/o+IQipa6y1yh1WUuogWQ4dK5xTodvtKRDYBnTZx
wXeNnmQVs+KEO46rAD0hix9n5JESyoO9FGoTxRVtjL6n62Fp+3b7Rc8o8YEynVXrQLpZlQHQ5thQ
MPuJLb9Omcq3TdqlO9Vzqun5QAYRyHG3Tgh2eOjS4tlrqNshFMknfyisdN1MC89heXZBzgD+OM+L
OMFJtLsmM62DwQd7m1ukBEY5CfQrtIrFoWPK/TLC+nmxibykzipMUt1G3qfV+c0NHYB/MdU64ruB
ZsstKmz9YSV9QRqEc+zYieduqakrZJUEZXaosOy5GJnuFIPaGnNcHpqWqBS8La2QM8u7La1GPegG
VDKwUPHitAQjwRqeTtKga1k31cyX1wmjRcJEI1/XhbxiTOLBV7BH8dJFFYFbfkdFGtl2562EM/ON
tIyWjXA0+Ie4vdbfRDXyVMoZ8hZVeeiQH7qvEvaiWtagIciCyXXFDakME5wft85EYAujhvqR/E//
whhobxHgBRexIZtjOnmk0+PSQTp1SYqMbjor4Vf9Az7atFXDlO78pfNGxCqvypy+3EtpT/yhmt+Y
9pC9kPqzfMJt7KYfPfmVuQ9tju6QM1jZkLqGZPHK4y+ttKVgWX71aC8cGsJJWRiiWN6BNcD4Xz7V
kU6WgyQf1kyN5bODNdF2bEpCrzKdTA9SIOlIl6YhHXUap2S061u9angzIuMIOO+BsoqraOmxJ4SF
QJpLsUE/bTGDAtDi7gpvOs0xUO3Yg2qclyGgNRt4TErofjynRsR0mlY71bfnThvnroJb8TBeNehY
MUgtDkVlpNiBcJAVZKdcqAh12rktI0aex2DXdBQAPTz6BUDBwXva5nCmV0OSvGG+MF3OfG64JmKh
isP2CAbhx6AGuhzzu1raI0JV4GHqQ45CJZgZ1aoHFMHQfQZYRTs9ztyR7kL3QhfIJygQdd+bEfxO
WmodspdiAItcjjYSwGTYVCVfTDyWzrWZuwtlXNcJV3D7Fk4Q5v/sYXn9OKNjLPA9HOpvMU4xG3hG
02fy5umXzaY4aEtTC42KbY1OionU0iEvo8nQb70Knsi82MCXJk12PbPFWQaXP/fNHnSMyzEHM6tE
YkMo077r+ryUKZ7G6ytKDqm61YmJPS9NqAxbZOjFAbe66E43iupCCpMwEJJrLhgv14/CALtg7AiW
oZYaZSBwF7deKlxQ/Y7NXTPbV1EE4hmLc2JI9Dq4GDz2WTEkPMLEgRquVxYvBBc1Y9NStm5al7II
4Xtwsaznulm24TYSLXzlAiQoSD1qjbzhjwddjbEyQqz7ZEEbh5ohEDb0mXw2fJaEPav2VdUMQBIj
iq89iL+QLpf1k9sUXuxExF9yO9GCOpzLCh+/522cV/ldiW5/u9DB1q4Hh+p8NhgE5x2Z+ifXHls+
/f4iv8ff89qLNbTKwRD4F3XAE64nQqHgHZOpUDI8cKF540zDi0/czLiXLinXKaZ8B6IO4f4UenUx
W6q6cEyKh3J5Bwn10lPbDqQQNbOgKBoMdjP4Og/TQHkic3ARXRTmPRRqNlv2sUfR+vIJXRLjsYht
/wzF9B1gkW8yaogxA2JKBJBBMBQJVZSX+XYhnG9rMUJ77Sgyz/GunWWBPhGzUuF134tnhKgAgwNY
nZVGlGgdBYvl1sPaBNTbcNizeM7b7OjxNOjY4dfi6POFbmqCs2Uu7tuQhuj+Gwv2KM3yZyTQDDwQ
5U8Qq3oeps72lvR8RzlUoC+620tqa4u1puEuPA7gFKSylumhQrd8HLAue/GWrdLSeShNbuWEc5ik
JrqpA9oAbdKqSfoOE1pVvskGVLDqmLNhFGPcW7WnvnsLZ7Tjp8NsxF8VkhTFH1M7+ZWIDUqOGsvg
Ayb/FI+SRC0Iv8997/DUEBZYB6T/fCp9zjPoCnIVq36oH6lKMjvEUBXWW6GLgLpFOekV8zw22YFh
/gPhdNYKz4Fp3Ste+OTn82VuAmWe/+f5w5zKjCNGg2v3zRk4U9H42Ydq7sab0SQ6p0yyFFqB4INO
7foYew6bTO+wsm3pzQ7KcVJOpDtTCQ/etB3b/E3Zs3BhONA4nAG6hcJlm3QEw1IFTLjk4lxgzmpH
A8cdDxDls2GvfPsJvkaCixcIOHEXcqMcxlx4Bir/2EWd+I1WaLEOfU/XB/L2TA9jfLIUPII/30sU
lCAvhFFWt7dTwOGVOyvn2nNxfow7ZpiTzdaWBBTfXcwg04sF5pOtY+0Zzz/HUUXvUuFg0Fr9dKoG
WT8qZdvXPa5Vn9kS5u0PQ5qbP0QEP4Z0GcxPfvqxuOgvLmsOPvoff6zv+bnXa1a719KF6doyqJ8k
vZhuZLgUKBoT0AoKUaOnKco7EjF1oIyFbCleMmIyw/PL/vWPOst+3gkeQPY9tIHLj/LQXn6YjcSK
lRykcbsvSwvCWQAXYN36qibmV+t3TaOSNd37vJkIMqbQUYBsmeTtkoVCJ2f3+V02sKhwMmU3iBzx
igzcu/XdWG7YZSkMNbJGwrpztPWvf/lfdCqI8M9vH90IfLQPoiq4WblYgiD35JLVxygAtwG5p3qs
8R67hU3LJMKq/XXPnvjcTpwiBJPRF6rO+XP28t9R5W9GlZaL1vOH1/bTqPJL2lLQtmn146zyzz/1
T022S6IjHlvIGkm/WvIt/jWrDEzGju/02v8aVtrePwjOYt0aDPRMDxHGv4aVi5dvYC0SHuiadLH8
wr/hZ/h+WGmTeIEY2yJ6Gns+03A/ynZNQ09y5STuKYhFs28YUd44MAr38zTl86prWuflhwf0F9vE
X11wEegFNvw2tOjLMPNHIRp3LU1ZOifLMf210VNzzQHkG7fw6308tcZvFHrvVV5/3KCHWpdZbGAR
YvJBeIVh1IyZiGefsC93X7KAC1gZ1UbrcFT++tbe79bnS/GqedcOekgElx9urUmGJFa5YZ/QRzgv
qZc1e6dbxlmg9MbVwqp48PLMuGoiZ7z79aX/4i5ZSRhlkpCIocZZ/vfDUx1qwowwmLRPrZlxNvoS
khE+74QO49hf/mbe/GFrOt8oKxDrZzBh2oePoscRk8LSQwB0GgQ+IqEnUXGFQ6aTydN3XgZib2Uy
OeKv2xIN1CR9+2gbgsHYiMfuSjeZ5v3d23eZTkMH8Jnhe7CY3y8qzGgjVWDsf/IHm9sNSnZwfUE6
/sNrGdhmWQZLmIXzYUHF2NcUyTTZ+FcPxpWytaWzg76oMlM+/fq2lgXz78Nrec7QVgm9cRxPR6x4
VvP98FbTDqWDK7Dx76PkrTXx9lXMHn7zNn9eOlwEQ7/zxdilPqxawDsb26fCPhF0J04ZcduSeCap
rYw5p+389R190EH+cUsWUywTFSyP8KOGHpGs0c+aYZ2IMM5JgoAbBQ1eI2yyaJi++XXuvNgQHq+s
NBjvpqSzDqCR1uE3P+M9DPjHz0BvY+rLp2pDC3m/YCLTYG5Iu3Masd48WnllaCEOpz61dcsKRUdT
bvLcbFy42Yr01/PHC40y3bGDNPtf/5q/egOM39HlLm+aUKP3PyZnTjOWueTj7aPxTmdOFw6VEidb
NsHm719q0Spj2b6Uah9XFGETjWi82jqlUOTvgiDmk9UKYgCW0DBx+vXF3m/1bN+4TgT4BqDk53I/
LV8o3aKoa6kdkWoS8qFpjXwi5k0+zUT43PTVxO7w6yt+LJi5JLUSLBh0/LzXn/w1ZD7bmADhEKlH
9PY24g5wqKYd71zkg3cpo2PMaB2CCBM/M++pC4NNCZR28rQKTMVP3Xo/1xx/5x0Ex3RJwM1MRhws
UW02sNkm/OzXPxmd/Luv3MFTwWM3ZSEGumW5HI3vXz8EzAxABalaW+jlVp9ptUXqatvYaHMVCr1E
OY4KM2sQZ4lMTu7G4C+7bRqNzFWMwviNEROFlKxxBqOzVXavo5mzdGna+a5MhJTJGpNcAj7gihIk
Z8SB/VIn/kikZd3sgUO710Z3LUJn+XPrdoEsBxMQv+s9cfJj2zoibB+0cMqz6SZGdtowxjKDhw5b
sGyFjLY2ADsc/uoWZyja8iBx81WBa4uFQ1pKAkVR1VzD50m7KPlu8KxnZmoDiOANlkrjqkVMzjwW
kunT4kI377RoDlyaWkuciAgqm2WyXiVHfB2715yYmSdPQvQ7lkY63SEXJgUYaLkH5CBr69mYUHOH
qOTcPA8Hf4gecP5j7XW5+5KnJqvdzkznZTKC9rU15HJC08i+lMAT3+QcmdDbvfqucbtyx/ysXnlp
jE09+y8pBUPgcMIYE00zmCEf6cLFsKNcW1mjzRNFwf+AiBL0wbLaV5J//bUmaHi62eT5MPPz7lro
+A8mPs+vMrB5TyVMlwcD5tJrTnikGbpWF8CViSCe+FMTPEB34d/Sosk6MKnhb8EX0bifO56brfS2
/uNErTipt7LFTZBsrKRhxmAzeQsnb+GlYAdtT2FZTbN3TJbCRMsA7WImHxd6Zo53uZjccVPomoZP
V1UYV7gGs2pyS3dePBdFKQz7TKIngiperXod5tNRLvul1nt1u2MyWBc7czT5MfRjeblpAPpfXZHw
/Qk9JpaonH3jKtHKglfplJ1PAgFC6DVDSs6bLo8i5mKVxVruMy14aBkVtzu/YxwH/Xa8kYbPWdRh
Pjlup4JzmdAsVDhM0mMoSWgNmfimpfPSi9p5cRMFSaGtmmBhtRvNp9iazf08D6R4mbFrP1d9j2Hg
nE6XBRDXum5HtJoZOSj+1kh1YOdC9Ie4IPogbBklQBGaBVp0BAH3RTGnmHmR8JozXM0W+2lfPzGG
FTIs8wBCvNNaiJA0ezVV83SfQ1bcYBIo5TEHz6EycvMknAnQuO2AHqowi1T5XThN9+YDShwcYnuu
CKUhvmkas2hcqZydaUlXLzeDTo5L2JGk/ugWkNy32NG6qAM9A/Sqgr/Vkr2zhSKISITko3RNPECF
EaYSV0HWGwMAaJs8x/BYQk+gjEM27O7qaopOiOW8eue3g/sk8erY4r8/P7tEPcJZL+MpHAd7fmZg
hK+iY5KAZ/S8Rj9yIADnQ/WcMd3sAHyQJMGbR4FMMUo7TzSTuW6aUtvU1IBhT/GyLX1kk2xMEbN9
UCyVo42r8hoHwCZpYeKq6XsUi2GToIkkh0OUj/Ax0A1PJGzJKkUQVTNyxoP0xetsvg9cG9YRU+SV
6htjWyLMyxpfu7LHRGf7tyKB7qPBVxC4srBEh+Vg4FlO2GDvExNR1I5LfDnGIggPjAnSc9oPRHVH
XMguAsR1KmZaL2S7KroW4EdMGvQPoT7L3K0luUftFmBjWiG2/1Z4rXjE4xJbwcAYt61G4jfG5fou
iLryllNpznnxc3Lh2jWK7FjnjXqxmV0gjKlu9E7Jm6LtWNSo6bzuZYo640ozMz4JYnudcSMkwUAn
d4wosE0L3suK3bZ7jRt8I1diDgw8ZmeWrI4zw0PjKaI8fGyQ9M3iG18Bidd6H2K9WqD9Zu71FBk2
UhrI7CtvCRvv2oDz2FdOlIaFaYuTaIrlbzNG2aIp79iC2I0pzMjEvmHEx6bdZpRwbj8b9wg9+PQV
uPXeHnEh3ztGLp8k7G5+mtcLMMyiKp5M9J3UcwmGyYYlTME3j8a+fHayxJdvExTtsO1xEd9gZ4T4
MbOH74hPa5RoueZ8CdwoODRJgDG9mAC/4aOkWEIAL31t+w4MybE2jp3G8SrCA719LGZNaZ9Qwwtr
75uJf9XjFL9yCzJBkmGo96hf5u0EVeDzHMSlFwaePXzunaa8A955M4v5cTRt4zrvzG7PvgpAbgb4
JdtKmq/o0+JX+AHDp1gBoN/wxTNIJqY1CO0YvwpYd+kSzlK03hHcvsXtcSjIaGld9vFVrjDQ3eO7
oZ9sMrcv6xafXHceUy1sYHsZoctbyFYUO8GDVpFBshmRBzOjbGxICXNxXRu2uitTv141DOy+2b1W
bATKvq8icAkycyVuuyRQkSvY+la6yhNMiQeFcBmpW8F2EWAtkZW+fSSk7mskteHT0MX5raGUftmk
sfOcD24er5oCrawN+pqG9WTFV4E9pZfN6FhIh4cAEWAfty9mOshT6RGyVqUOolZX16LQ7sCMdwZb
3lajmO3XI5TiCBfWyBu3SVFZ924u5b6vyIoBTI4u9Ekhdkh0PBf7eHhSRVerjd62dnoc03GE0iF0
FJBILfz8yh31gXStRAE2kmZ2kXmz+IyozAzQBSsUh0Qg6PlesXiuBk74N6Ov20slZb8bOQhPVdZC
gJEBplohIxzrkLC5YSkXGemi7q00Rt1efxub/WCFVRYhd0UA0jzlY2eFsNedC8Lf2EYtfQoQ9Mqe
eYhZNipaFei+LoHVwZ2noDb8jV94NhuiMXwXqEWjbbCIw+Cm2QfbJuf6DCzi9pHetaVRf1ZwRR78
YrI3PXS21ZyNkIM8lwg0PcEcdZwzb23JwUtXRjSTSl12nEPdopyItB7ZrM2juuln+hRyVAjZdkSU
Xps60wW9GbRLJ+1g9KYgoVtfsxovrGTlbOvWc5hRmmnQ7hRr9y0icvuL9K3u2+BE3ityMDfd6tJV
7YrcTOi7GWNKfDl8S7zN3VwzAE/mSe29Tr7BEI9v2ox5V0j2W3e0hhHtnRDkCSUjs9rQ9ppmlXM6
X2tkA25MHEXh58bU7PE8jSOSLsHI2VF2559yhdG4Znv9Y+Kir1t5zBKvdS/ymPjJqriugmIRyaNt
vU00i7dWACDZexyAi1GR3ICk2/6jg/0vFvobLJRW2Qbx///7U16+tO3LNz65713X/oiH/vkn/8RD
3eAfAQ75C4IC848YAfCGf2o3rH84tBmUED7Y5gIP/BsPXaBSUFDwHQf9iL807H+KN8gINi2gEuQe
lstkEID1b+Ch73tx5rNcAWc2C7yWi/0kMgisyYUgqsk92RlvCfSbneYTMo1R8PAbKOSvrmTqNKk6
qWwmzfj7tq+o7MpeKCQcTfOAWkw+y0qQDhYl6jdd8V9daUl+sxDNmHjBLf/8Bxgp7mimGmzc992Q
K2Rh+nXb423v1vPDDy/8L7Ddv7gQkwrTxmXU5bY+Qkm9V0AnambsUJix5UX+RjTKW8Z//ieXcbBh
9HjjP72jDhlCmzijZPgyBJvAR2ixOE+u8jH9Dx4dazVAsQRO7pN39+HRSb20RcId9XifXIz41OAQ
YsLLqLLf3NTyN/0b6zsvPOxXydvhPRFS9BFT9XqshfCAl3tKkxyNwnQ3xeODoU0PskfJ+OsnuMBb
P10MkIQq12RS99GGFLm54NsUcg/tEsIjR/U+Q6EcCi19wcIKVwe7sUKDEvTvL0XfBZfB/RRQHvrH
++fpNgKGGkzOPTM28Uk1tYXPhZY/aBn/7df3+B48/fOBMvtjVwBS46t+f6lZZWpKGZ/uNQXIUdJE
b4jSiD79+ip/teRRjf3rKgvQ+MO3tajNeg2Bw14LRgeJ5vjQlwTiEHvxHz26H6704dEN2G8KxEEs
kEJNa3fMXmZspFa//7w+YLQ8uXO8o4tFpes6kLY/gKOxQv0BrJ3vO5dWw9FaEWK9gLGZZT/Wqaft
4VBCBIelunWQ566wmj7+5qmenVvfr1AGW77P4gQ/NM2PvqOkEzp+KWS5l70p1lLvifCbJCP/2S4n
Mo51sTYCOr4aIeBeb0ZBCiMVqFXb1RGZGn4hA7SkjT8SNdugi/h2ZvV6GbXe4ie7VV7+hiEV6PJs
9JfSw10Iw5sFLguY5wrJv4Kle7mB/WeiVrKcPe1seQscY37JPZNGndTc576EtzCUo7OPlu5OTIht
h4xPKvdGN4b/iqV6yICbKW1Nxdd1SbVRdEKbDvLEp07L7KMezMO3OuKgMTqX3+4aXCWj/cLVqAdc
8/xEbCa7IPEmTzT09vwezQTAKyNuOsfhZiuCWF6jqxDrzkG8B90xish0wJR2hFXc4fYRQZipdcQJ
WQ2iAg6rrUqdu5tL9k7crLoVWjETPRv7WxKn1cYFQ1nhW2dsO1Tt4D6BYR3tkpFZBvHmhI0NPrTL
lMUPGEiQRGJ+iZPeOY2xkT3Hvige3IHxS91a8ql2S/NLxL3L0BsA+GRpE4vo4pVVhIknKaAta2K7
oTIH49GgeD20A96AcHHKW5TU3XPEozklWS2vXZW96QbvVGWu+QUn57exHaJPnQt0QrYiv74Fxp6K
hfLdwEJh+Qb4v99kqTveUUxTdRvcLUq9dNfHQGVUIinUFFNVyI5xpQzp+NOrGI8hfBfi6o30BOMK
cy8eoiqcCqHIAHn6/OUVbYy9mB75F1iLVXTZPIRIJbgj2FiFlLWMwZjMhbnnpflzMKOZLusBZyMS
wVFcdRiH0rY3brFLEW3ISwO6abB2k4hql5Ys2KAfoSPHiw/4zYVIeKGhsv/ia5VzD9m+fCM2Qhy5
x2lTIYIJmZDRfePr8ECnAaUHW6Rs5TR4W60a1IpEViZJL7ZqBPRrRmmFqFd5BV005tiCYUEpQi0G
x0TIBQBXN3x2Nq4EeAhxys4kUO86vnsVOsVAUmRXaXG/U36VvQQDrvzIp/tLLPORWKYBpk7nWcbQ
BP3j3Mz5zpGqK7a4UJvpNpNA8JsZLWUdEoUxqBCjDePrHMj21Zz5tmx6ZGNdDE77GTRAPsUZqv4z
SFHCjwW9gcV9BP9P0WQMTBSNnDfhJHH+XMdmdSRvqIJX3ZorrFbe4CUFF+RwWEd+CF4gcTmttakF
e0xQk13FhAJtSAEKdpnGG1IWp6+y2FgTH0qFA7j9KesbnM4SOSbfKxk4+yp3odkCnpGoYahH2U6E
TpUCIXygWAhMN6oj+QMYiCxBaVqHJMQodkETf+9U462TdvyEddy+E/1XlUzpsaxc2KMRzjOcxt5t
ovgo0f6MG5iF/WXfMQWKc75zYuKi0JRe/sXHjOGkB+MWGy6yPeYRaLYc8jbH8p8wPKsrWNTsisw5
CjR+lcqCa4u6FtUEX32uSIXqsceEPp5Nm7lhd8Nhp98Zy9Evbe7bLLOXtNX8a3/IHHK2W//W6sGj
BNrF+4wwqOOoWFE5G+qzClCy6cUk1n3F7TvtzGdUYiFz3VVq+NZqDdYpccuek9i5f2u4DfnlevGC
AxnMR+DBlZto3u2cYgJgYhO5jjzcC0PHUv5tJPIGUrBiJzsXe9hQ1ViRlWqdTRmbmKnE2h24dANf
d5+2fofqyhj+j73zWo4b2bbtF2EHEki410L5ohdJmRcEKQMg4RMeX38H2Hef06I6pOj389KhCLVY
LJjMlWvNOebXxClPHBDLTRy0Jk8wvlOd5rd23VX7ZLR9bkJR37bNWtrTh7rkTAFYyZuELKRCyDDz
uDppFDDLcNFfvq26eIY/d5kvvpsjq9WwPiMODbebLOrSG+VM8X4Acc4aRzHDsKtzblTs7FukpbTN
NflDZAUfCLmZwmFxqyfcncHtQrIsQC1O6my4Y9hzh0lxMbU+xuwGtNXiiMkcgavR0hf3bc/aY8Ss
HmPAS58N0MCHoOr3tnIaBMJDemNHlvkaiL67oMCkJK76Wz9rc/pX5nBQSRUciiA2rjud3tqQoD8Z
SrW385R015FaPqamPeImxBXszxXzs0U4x4VZCipzUkBqQ0d3efbZa3SxxQ/zo4qjOIT89MT7/KwH
E8qUX8GTiQvQYqZd38oZSxrbIjhbV74aTgUi0mPTA2qKyjZNoJaWrLy6ZMUxCx//qCmAqCzc0vqv
RdaVbb1fuAd7jn/QvNwJK6QvmUHMHPGPheVIfUADv7FQaI8bmpgKnlaes5gpzpkNj4gKmNfEZrbS
vU34Unib4bvodaY0NAuhYrWdFvhSgKnQMxubYlMX1lNbWMV5bGzY0UQM18jOcY+RB9Nve1HMVo46
dqo89zKPFnAYNp9cs/4V5OQ+NIjcR3wDKjEOMh2K5EzoiU1+B1iLwT/jciRGl3Qfm2wYjgO6dzdL
oL0f7UwbdOOTYvm9dvA9ijT2TpPv1Xi/50CvAk66ufSsWddn38uAx3W66+5IkCcaRck+IEfMj9Wu
qxMtUYf1YqDjKNovfmZmGDyn/MOo7Al7t3DRn1Lf4z2rvXk4l7nKthBzXqXfQ3dU+LlmQuOkYyR7
i9bLloVjuCfGyriGRGrgDfaIpDGkNR94Ty17UynMOz2xL0er6Tuk8tFLljiEgRNNT48HkwkJJNB1
Omu6IcCFeQvCZ3NbSqsnWSi3lxte1/hrnHsY8DLRGijTAfqo3DBOKU1sf+/FBeubdFm+ZUx1woGN
7L9RBrmzrfnCxwyjBBaO2fkTkNr+pchfC2IyDRx3hU78cgqspxTIL7TLY1IU8twPbfGjssmy24zd
2AJjg4zJ8IwRrdokSnQ3a6TXRmQJDmNBWYWH+YWNqzz7Fnq92eKo06Y1Tft87p0Ls8LgqtRKI+tm
HN1B5GIghtbwGEe8g/bESWknvSL6YEtTvqDjwrMW8J8DGZvePcZllttonvJnM03Vl7c1sCzNwA/H
JWO++vvK/E12+FNhDt6CVoyJ/gyppyBN96cDT7sssexbMz8i3mXttUaCqeIeSpSvqZk6yuyb2Tbg
0lkLNVYW6HWQAAqrswuMkyL407kZdMjPR9n196FhIzwaRvQe3slXGKCQCsV2smrXnmkXXnTG/kKH
9KXM+4doZsv//RX45aDOw4Cgj09CaLUmC7+7AFCbihi1NUNiCtIy6iM2a+YnZZlUF0PO1Z+0Kv/0
9GH9WKVdgW3b/ruDbKkp9qSb5SyugJA2rJjVNm3BW2/hjLxAlw92GUjiW+RhI6oKtmB45sI9JNYo
9ljRjTDKcuelWhq63y01zu+vxy/nbII/Xd/C/L+mfvwipelmd3TrFLtJwHn74BC1eIGk+6d38JeO
BZ9CowLZEPIu7xeBW5/2Q+SWVXp0JZWrG7NqlLVL7x2ZbLxxs4qpt6Jyx5UyfPr9F7TWC/zzI099
wNjaJyCCBJv3Z1GSBeSg8zE5ynaMI2w1+EWNKAq+FD11Kdg/Z74NDCd4Bln+nAVzA/rQGWG8DU4c
dlWZkC4Za/KYGnCENtrtmlqOhLUjxS8GLQSm35po5dcZUcup8e23/79+9Z/61UKsCvTf9KvTr0ka
v/wk3aU2XP/Rf6W7KG2FxUv+P0m5/9OqDsz/SMSGgSNpntEZd6Hl/Dd63P+PoINiIYG3XdTna8/w
f1vVbuCs4H1Ombw0nvNvWtXi3dJHz0nYtsQHTPQNUqv32l3AZAyB81ZcSsxIjIMHgNvTUa/CVgyR
pQuFJpmL6kplwhipN0l7w4Ca1BirghpdRwqtV2zRZq21iYNQdtbgTQiRvsSraGjzl9gE5DBMnb9d
6bu/3p2/ewXeraHItPiFfS6tycKBTmP9+793zdoe+rVeiMnDuPAgEgZuDjXS1Tx4JuaQmWPp7z+Q
neDnl/hNjMbQAYWdpKvENfv5I400t2ujr+ILXckrWHMIl/KBrf6gJPZ6gDCN0RyFNuvPwUjmIsIL
OXjyGLgsPHsnTkR1IuaD0/wyeKw4pRvRxLA6d7rzyxQeR0VY1F2yeq5ySyBgklGJmrIVkQZTUbJl
iyxihN5osglCZ+pxy5PRybU23AHZ0EJlYInFeenKmmm5ala9C/PJId5pL1orfidiGj+6Bi0BlztC
Zdu1fb+PiAhEyQHNRwubh2C0Weu1zd47SyPQuzeZkPZpIjA9SxHiYMAc4x0dFUCPiUTH0SSx9Siw
GEJa91q+W6vRfhnJjEAI1ReLl5X6E7I5q/7MQBT1lAt6M7mdkoLfiJAn+8Qum0xPGjzUwqTYQO5k
qUS0F6tiInGzZOCp9643u/UnC0NXcu5WXbkXQ4ykl+U5w8OiS0xbdm6tc0dBAoFtdVy5tCUHCQBE
NVUnXYNKCged8Y8iF1c2hTvz9k3dZ/x2RHBSUE3LqnEwTKWS1UBLO6/S5erTh1+RhiornRfFEv7c
zxw4hh5EMoosQMLbJnXvEzo8sHbbhosEB5+74EpGXZ8SCEH1US5wGndcR7sPnXTF5KVA/CH+ONhA
PsxLxW0dEFyKS0zIQXJe1lvirRcnaFal65uULWgMGhtp3hleuAzDeJ3A/783fBPgBt0p6NS4432s
t4Ri7lqItDjxQLtQ3bve6G2rwcp3TNBjYqEbsXIdpvkRO1B3w+7DwahQEa7WxekB06jOuZ7n2H1G
oSVuxqHO78jzjF8sOhNHGsfSD1Or9F7KOBs+1jaAX0zDPLLJiJVogPHqh4laC+oij8BKW5OLBIV0
TQQJMOq7e0SRq1Zs8HhsBu1xece0cPUtlF7HRpkUG2UeFn1jE1Y1Sz9ZbI7s0gBxXSAFYAZNkfBj
VnNff+aPhfpB/gkKzcKkv+DmqBmrmGektUqrDzm2Im6x1jufZxDZ0cKN3FuM2SggFw9pH1eGlwsY
JC9lVldjtG9NAPOfVuHMA+UjL4KxeFzgFPeBe8jwol1QMtGSjCb0vPGgaBiqyJruGF40x55x9nRl
lz2X3qt6PoUOFQJFwdsW7MCscV0QdeKN7R0KXFCJln7MlsUwno2epOqrztKGvpsn9H5EBNssv0vB
Ge4plWaRPUQkQB7x/euGTqRtnxZomWgX54JryYGOa4m+gVPAX/pcZlD6GOU+zDPJqpKc6wZMW/j2
IGeTwY2rYJRohDjrS9FpzIcItrDds5hXiFx75NYhsW2J+2nK/d66VRHWJQy94i3JFBF74vo0+v2V
mUpARIx8x4tirb5ooTH1M4tHIGpHfpd91KwQIgFRRALvbVWUpetT2xhRsPPyGFmolQl+EvQFdW4b
BJhYAbW4UShTpo9+HzXZd8crLYsG0Eys864wB8u6Ldh/lmZj9fjyT1FpgYVFMIDi/5RYNgd0xMw0
1400NkFiLXhE09i/Kcmh+uQMSC4odj94QzyRkL0qs4CaGTvsZQnsRnRb9qrgslctF11xZF3FqvAS
b2KvxCucI20XdwR9phojpYfN2WYvOX2XZCXXM5ESOZKyuvbN5xYsemgX5hcEOajwSMvYZKsqLU3G
yT+KzIpf8zbyvk+xjbhN6PK2y92rftTNvMtyPd27lRd/ceyh3BVsUlvKPvuBoVv5Rcik2FulSa/H
WwqgtpBQ74IYXrxXZxwWLeLMr9M6zp8s1SJTMttuvxgd5+8BcSL4bzDOxVjfDvlSXDm0F3Y9bvB7
lvX6iwr65MMg87vRMyd10E0r983cILN40waCgf4Qo216GgvZxnu9ygiJfqf5mjULEOog28PjI6em
GUmyyj1aJ+lgV49sOvWn0inqZKuWttz7qVl9TFx3vbQFDn//TcFIpsN0U7sTKmDaINs48tofqQbz
mmNEPFqLivcj1IMbJ249uU0gnyM1nCkHtisfmG5oUR38vJnXKZddnbxksvaxI+5VVNUHc0r6reY7
fsL0TOsHvpd7Qswoht1cIKJsOhl9CGokjka7ZHsHznNoKGPx9/PsujdG0jUXFuz5aJblfBoNEZwW
sLqEkqBP6UBUhE0/Kzztrfs4pMPyzTRzdQn8YLnoN2np7yuUX4o5gJY0fNAacqi0Oez9XJ80VWET
s4oleepqehnl2lMdbTYhadCPBdJTXQj2+JP14N3hbdXLo8OA474iHT0yPn7+VImIyEtGJzi/CaSh
t7EwIDOkxvj9t3t3hn37HLyMLuWyBXrzfcIeWWGIh4I4Okua1KyppmbNXkkRzpuc8d9/2Dry5XJi
n2N4//OXQhrXGjFF4NnPmVxUq6P/TR9gpP2f/BS/FrIcyoFNUIubgPLfD9IbwlBqYzLds716VtC5
cQIeAXLQiEa47tH2+v1X+4fPIxUNO4XASAjW8l0vQPgVr21eOOdlSqLnv7YgtKfsGE65jjTadOby
/v4z3x29uXd8OWTMbCqSm/e+WJ+LWHaB7uQZDgPVlWeYFD8sqOzA5bSSeiX6FlSrxcCfTRrK0/H3
v8CvDylTOIfrbBLVZpFH+fP9rErZmFMOaabvU30cR8zmkxj/ZMT4x0/xBNZlUqIhqb57avLIGsuI
BM0z0k59nFMAAp4//8tuyXoxHQ6U/mr3YDT9/jV3O9tqHIPv8qa8cNNVVIor598/Jg4hwCZGH24e
3pufr1jWMJoFWeycrdUGk+qEh2KYgbLu3lTFXT0Nyx+OdL+uX6zprCZ8LbykfOzPH4lwOprH3JVn
o4rcTwIcBLPRgVKkz2lQlVA4MDa0C4/I7x+OX1cWn1hDm8aMaWNIfP9VA3rtJNM4FiRS3u6oYp3s
XAQzi4J78vuP+oevyMOBtIkaHPXK+8XSgzLIRxUWzIaVElCI6rK0jCdzuXaf1xPctD41v//Qf/p+
uJB9hG0Ocoz3MrEBkoydBK44v3l1ygLJQm76yYGDzh/f9Dc50986XTydeJA8R0rpBZ7/65u2zjxN
1hNGpS2YByUKB9C3Z+YPBE9pQtnR7tBrpkyeRuo6Bm9zezM00Oz2zK8kh4uKaSHcn2/oum2qzqVk
+O5nbp3/4bL8uhCCerK9VS+Fgkm8l5qhNB5TEG484QU9UwKNAYOstPfVP0I3jySoP9r03qzJ76+O
x1u1tiLRub3vA8Y5/ZKIPe5s+Aa17uTbq3UFvt03Xwu2THj66/OuUuwzPRYlPEV4xt6MjDghMMg0
cb+sSUJ4njuYT8m/fuvpRqOcRKdmc+/e+ph/66qYJBst8NCd85vXRpmO+iJiJuVtbpcptA3zT22c
X55NRIXr20Arh0cUN/rP73xDehBF/7ycQavLlxYjmdrMq32OnZ3T+L98Efgw+kY2oqSApeb9LoCU
IjDjJpjPU8xcW5WQUOGDccpxzJrj4u8/7JfNYP0wjM0CSx473nufZJEZom4jcz67kcPBMk6JJMW7
k3BK/P0HWT87URlBIodDLMmOwJdz6Yv9fA1zO0knt/ZGKggcMHcmZ7g+NPy2y54i8mnaS60GOiEy
Bi2EwZypW157tqaXvG6DVTM9YDSgT2CMHJYY9oG7QviNq89waWXR9bL3Zr52P/CIczgeGZfcdSXY
yeLfLsQuoe4BYzL2NcSf70uhtISM65GWcrYW5sdvBlb4WukhRiO/+/1F++Xl56N4BiSjAFp6v0xE
oJ1Y3TABHdLIiQH5YN3aNBWZNQYBIBfirf7YP3xXA9HzZz20ePUZAiBAfn+XyqWwRaMdeXabSX6H
ATCctYyC57eGiOu1dHWaJSfEZ5qsP6x01vtHBJcHYw/XtfnkdQbp2D8/IjJHYIDOhVBB+L/FArLT
dzMw5+BgbCscp8h/BTGYyS0+G9HevJEcSlvH6dHqZpQUBHPND2Zf0EVcsrVf02hvPVj0mj+/sXt0
4bYK9qdI77xuNkp+0pg6xwA9EGPiDJ3/vaNaZvzr45UbbAaHudOiPg8EJrUby22nO2ecaI21EcPb
S0bjCP1EM+C482NGwNcOdny9JcWmuB/pNtxgrjSIykrdu2oWxnKoPIwMdLGh8poesNgr2tJmGeJM
6AOCnXR91WWk3SA1qxewiHOzcIBe0jO0PRGC4nJ6QHkiaWAV903qdPS+zQFAs72oVVWNSYjmUV+L
XHwbCUKiKW4o3pcA/xfNUNCoyd0wT/zZw59RndyKFiWSnSBKju6QcSoqm4W/XRrv/xef5LrQeQny
ta5pat41LCQOmHhoISNJOfEqbZ31FGSn2Md6XE9LkdyhEsqrqyxuhu6+RXxTbJHz8HZXoqizhwp3
mNjqvhPNnhEkrkwTqXHsulX2gAig/TYxd13o8Cpn+W67ZS+vdSPWVtSYc5uBzvEP+erOiwMJBl8N
wmZmgxAhroYV80pHAxrvPiVDZdq7NWTELX0QOlf4eGmE+8VMqCDiQX5ijwwNRdZol6dmUriopirl
o5tsYdcKTMb2zSbJ7da6LcfB6R5EaqzmPx6X5I7zKuw8MXvAV5HvydMwaEJtt303GOFSr0Zr12IJ
d5aYJ6gklwjVpTem3pUkmXA8JeDmSBGdBHKWvzxoft23y2F6830yLafLyMR50o+idHQOAdDhASsT
5NU3RqrZG97qAHr2PH2g9Gg1JC5TuDO0HeCamEcmv6HbVk0/gm6J7gBlIit9a8E5ec8vYyeTeJSr
QziNkiQi66ZFl/3Xa+Wukjlz5V2NHmkALyWhQZrmPIZcMYmEKSi7YhNaHcKGULsOT1Hjr1ywJHe4
rhYuH2tjq7Z/RZw8DvsJYeLdX6MZ4cuXyLHXQiKW1HZ+5aHyFGrtxGra85tacfwBakkH/m3789ye
JmNC78q7cjzmEZvMTCdFHlJmthd0PrymRW0wacBQxIWVRFHYexVYcXrflg2/iDDpnezr3GofykU0
05d+8mxs1AC0s+zBr4Kpv3amXDy6SpUy7AkimL/7BpOMHXpxS97PoqYLnMzUxjbv3+gV7MeMAbD8
JLQreFYk0xxkmbKzvY8U5lmHJFN3AF43OeE3MKajCKFAyBLukHqmW7r1c24zuaaDtvifU4na7FyY
5kSrjQ5559MgW/pBjX/t+P83J/3jnJTOz9+2318YR9dpWX5vq+7lJ08Pwg/+1X8HpYSu+CukjHHo
al74O+PIe3PnmK7/Nguld/G/g9LgP8CNmKtLekIc3Tw23f8OSm0YRwHZQpzqgInxk//VoBQrIVvk
30p3M1gBFJZHD4Nf0IRq9PMWaiMLKDpZmpfSNKqk6UMhXQNPYhlBx8fhusukDb5ttoda7yeDvtLO
rTv7+zTh6oW4npbMmeb2GpCdDCpU1YjlpiWXkpA/qqstJsPX2Lfip2KCrJnGrvNxAJJ6DVK+u8N2
aUT7tFIO8SNIHQmd5i/DwZ2C+mCoJDvqTpUXT0EcREt+n+vOfjVG+OIXplETCQCu1V0NCgD9k51F
vXfVLs0CWzd3xx6RVmH339Tb8NZqJ2ZjJCIBhdsvM9hooC7z1tamjZLc7j+j5hyZNfUklVxndgor
Ei2fV+8z7u0HEgkKN7QtFMe7GpDBk0hmZIXMv5ZQp4r2qnSBFni6aj64srdOrdclB2tS33Lq8l3q
pWvSSpMqAp8t6wDh5XEGQ3jnKiaYR/4X+xrqd1QQLAFMsSvtTm9QJtu7ThgvEynaG99UxQi31mOj
AH6/azj6I5eELLilUdk4u4Vj5oMwc+d6CJhHia73xKkPAkAM3RJEz0vhex/qNSFbd7Pln7Bh2MZW
tbWTg8lcPcqejtSnAc7fzoBTE2ZIvrgG9bBp+qk8u0GVX7oacyO58GO6VjYRs+F5Hi9d38V+aMR1
svNSd3loylim5iECTnHMBKT9TtMtsrrxOJMVXm5pHhG0LKNG7f05io6SaOlP9WJDvl1aY3kMMBTL
TRePXnqURFjnz6n2+/Ip9j1UaLuePXYydiMU/7Y9MBuZzfaUxMAnEOznTipeyDTF7p9huto4Tg7I
pJWhBZz1ZkHFuJvMCBk/quwTvesHP4lcUtiIp82yalRQCiDIy6opQG8GHYJqcHwb/NJ2umkdi6CF
JRqgsfs1CcTeYzZBmnesU9zra2f21WbB4Oyl1RrtjOvbyQ4ATKKzl5X7ksr0yTCS+wnF1kbzMXvk
yd0Go8RnYY4kDHpptI+G+QPd9PYEGCDZQSpXV01hmKfakdm+ixrrHBis9xnl7K41ENUW5M2fJa2k
/ehXMOTzeTmZDa+m5ebWUzBbX8qOePFGxN5GJZ2BKlUNe1K+u+5MGJQ6UZW9gr7JzzqV8aVhMrFd
lsLcwZI/MD4LW1n3e0lwesaAcZsWRhnGjREYSCVVEsZJ8t1Zmk8YIghFYPqAec6Esyo1SH38ikDD
+zm+Kh189rRg6wN4xQ9darQbUaVr/LgThRICyx2/vbooZzZwz9LoPyHw6L9D7py3PoG+aByT8Yid
GP8IGyRJf4QdNQ3CVedDY+cPmZ9eLSKiLu3NkEiax9TtDpXZBmcvHh9ISoWKSWqjb867GLq+jt0k
9Af51DbAHebpWhFzAbm7n/a6zrvdEC3kNEfy2UWZDHKoaLeiyL/n0tSwS0cXS03Sf0iN8tpvhAiD
DhQppEMWwdS/ljV6dwXia2P6gdhYSPPuTQJE4OnokuHoMPJs1a2AcMEIhrqHyOYk6I++zr8uHiQM
ivzg7LJcnnvNxGyKbHWTBJ0Cs2kThO6l4j5OmvtBtTvD50stVXkzken5kq+rWdZHHpwq1RqXurbk
Q2o17hlCQhJywyhppjpAp5x8Mo2WcsaafiRdIY6x13JEAW2yAWw2hw6DyzOqNXvXsqzfd/a4Zmi6
wSlT3kPk6nvG4OaeZYJ0aGWMXthmbveRdaXfWoMXDQAROnWjrJ64yy7rDiY3am9WTc9Ey0ke7GkK
cMubqBuMjsTn4jNIbCtkJIfiutiXhBltJlV7G+ItH8hlZHVBN4k/U+2JNLD59Sr5ksgUDHvC7tBE
ITYJ0g9V95jjQdhbxRJ9GLPxujYaHUIIUE/IWp4c4PKb3Bhe2iX45MbkavQO7AbR12QL5SR7WOO+
HfWpctUhsBRJe4Qj3Vgibg6jr7+W5ALuiPtsj2ZnPdaRl/EAZ0wyiiQfLk4zmjeJsB/6oL7K2+TZ
zSyo3hA0zQrCDCvtDsvMF3K5Gb1KJ8zWtbQ2/Du/tQ9tqqaHiVuHxHqISatwF/9LFsXiU+747lbb
Hq+aITmxegPhksNuaLIzp+Nu7wyNddHEt2yaoU4ZmwekPmdz7h9QgS+npOqOXa3OQxplB+izaRgH
Rs2o0iCHNcvDJQoQqKIV5lgoe/lVGtwviBiGfzOTXX+fFCsg2dPNNckXJMGPA+nAykle68mV4Wj1
+P0b9oQxfxJyOJZklwTDwsaqAmw6uvsw0AfFGld8hdVwDPz5k/KyfDfwfRAOVFkoHS+9DAB8EJuI
vQQuaoUxeac3E7hquEwRWcU9p7CLkzrxfjbsedP2sf2ZOPr6ge5RVm4MhrP1zs9YmYbCLu9iY0AP
XWkQ5h37Wk2G1nGuHLUVQtT7sq/7KwvWOCoPi8NLbxIBYRtPiTGu2zMBBpUbbAzfuRkx8gKZyMtb
M66HaSvh66DUnRfVP5TK8E9Bmy3nabCf5GTWr4YejPgYFWgj9o432u3GzsWoN1JW0ODZZ63d0AVf
C2O4Ewmcgk6O3UPrlHdjaRgcII37Yk76W7y6H1sSFvf95FZn4oY++q3MH6eUyFcD8QuNy4HMzrz5
wvIqjyNa9Re1CL1DB6VPNmHWO1UNycEFb7zx/ToLC/AN2OOGz2t6/a40feM6Rq30jMEMHM7Q+j/c
nlignjH+xkns/KXyvfmDNwKVyHr/s505dUhWmPcMhjndGpFrhhis1CPAdhM9Bc3TwCOs0rax3U1y
fYm4YWpDzAuwaObfvNf8ejEnmF2hvtU6e4XI6D0EQTl8tNthZzKJv8GS5mA7YMv2VC1Qq6daJhyK
tdzUps4vyKsrANo94chtGV8LKz/CRspCgh+ADfdB9YA4ooH/4if9PZlK/nHx3OajsQTHqpunxwFP
2l4EKUHGAfktVySKfWsy/yurc45X0g22nOH6p1SJi1vawaEO8Ns4iLx22I/YIDhcb0HQQOR2LNov
BCRbKC0giJBm3Fwp0S4bQDjzVYEn7DhWYiItpfmax4UIe+COZInUg/jAAtkiGOvt3N+43ZgQD17G
6CoKmbF5tUb5uWF0eYnd2dmT/Z4+r46aGYtF7q+mgtn+UCS2eKWh4r7KtCQzaOkAq0QJvhra5jv6
Xtnews6G1glHDL7Es9cvBvBwHAW2dRtxULF5b0uIHGfyEbYFlQeGrnSIk7CIBH3Ji0Yjsc/AY34I
DApRcU2hFRZEC+hgOSFr/8YYCzoSBOltwbwMf1a8ilMqksEnJ9iwSR64a2dHSXhGnGS3eVUp0gP6
L0MncSEtdQ9dAwSQk2My0vBoQJNU5AaW4L+jGpqRL/KjjdBgA6wLB4Y57iJt36hE2ciEXH3Ia9e/
pEmBjLBj3pR5ATKzZJ8PjX6ApyQPpniFL0TBhB5ip4roia5TsckbaxsZ0sZJWNfb1tE4SlTE8HYu
d16TH5eS567AHrdhsCbCCvIddu+BbOipYTlJnQ0CyoFgDiy+S5Z8GYPuyqXA35s+l5isjCesDNUO
igLKoLS4jC7OKSV8RHQTpSHaNkjFsVezJ+bVqarkQ4C45ECezNe87J9Q1RBW58J6KTinWJ0DkRsd
JKE+3baWM5nVtaOvDT0NIN4N65mhW0tue1E8TSBlQnqZbHWzIRlOafJPKrQhCQPVjaUqOmvF8oTx
EkUUOq0wBX7yLdNiKyZvwV/GU04Q7WY2JSGAkx89eSK/wvIlb7TEhdo35Q+KX1BFSbsTaqnCxMgs
bumA1LFN9kveF09aqnSbYxLd4zQOdlJS7ODqgPZiqPyaAD1rM2PV3oP9am5cP3o1Wx1vg2xCjz9m
030zI4UMWleEc+5R9QhME2atbspp7m/wyYRF1YD7avXaMzHnG9xLZ0P4Jp6oyg69YWAAH3jjFVPf
bxXnDRKnPlv+8hLX7sETbX/FMXfmYmQoa5ZT5GfDDlXaIU9+GH5DqrjbmgTjqvrYZPquSW1CvRKW
x6TxIWil5r6uOd4iprMP5DcerMoRdKvUBZgkG6gysZv6TzDP7Y2dLi+T13+N+vi1qjKen8q+77tr
r4qeqmHpgL6X8RfDIHSlh+YPVn4JY9u7WgL/k19j2AuC6pCxOW6IsCPIEFj/xihNcSVlfa9GqjOj
VWbY9cBsNpkfm/jsqpHyzLgjX2nwN1kxLWwJKuLrshM0SA/qBJyT3540T/CXWSff7QzDhB2N8yax
rZagYontlnSF4nNeqaLapakobtiyJIq5ys4p8KBjbsmqLO9HZJXHwZig6yk3O6jUiHVYWwTOhBVm
zM+YK5Dp0fzkkFM3T2Pv5zQ6k+FEVZ3hMU/KgwxKua/nJb5gTXb3uuwfZ73EjCqC28Dv1V2ZGuKH
k7b9ZUlSgHq2r49WPq+x0dG8d0apH2WJ+crX1gtneHVNXDYH/Ni8xYUzkBJQxVc2HbuwR8F+TcuY
vLBlmg52heOc1PlqP5A6ue+YamyhOlEAlPDgSltuY3SDuJGZ18Hoibf0NgzGWybhkD3y4lrZOyvJ
o1sXmfDRy+dX0vlAR1keot2cK0ZRe132eXnUaj45ekC2OA43yO8oK9oEIWoWfMG3k24b30P3WUB/
wxJRUgbpZTtm/Pg2wO3IuxPDM+NxLYhTs0jy6SYLmxo9zIRUwRN148krSpTaeTHsWa6cHav5zK13
yl2Ov1xhe+Ew5T/0yoCy5OV0XOxJfR4g8VFJSzO7ZqtmFwK7SEJnG1zKtvQ3daYIIYo8Z9NnRWjQ
8oYCZTVYjFsTb0meHttMilDrWm1QEpqXLmu6c1vZP5qFCEVkWJv1bGEt6Y1gdd9NpO3cKc1trDLC
YIKMNNY8H0MDVdnGJWt+m6HnvoxS3aUW4sasKq5j13uufIhL1NdNONU8/u007UthHuKRfkfeOZxl
nGReU8f4UQg3ET5235eqRknYXc/070FRRXS4bTTBDecsyy7DguSLzdglfD2yNUjUCNEWsyo7ZnRM
qhw9eFbDrZrm88ibGvZrEpnZd6yRjtBkJg6vg6deU885+bK5m1Ben9J2trYcIS8s0c91NJR72U87
jlo8yXT5w25o8eEBTrxZRG8d/GmkjbKw6dLzRbUtHnDqnnzV75YBKiiBYyWUrmQpPzbSoG0yjqO/
t+gxs3Y+WHM8842IK8/ckZOXP0KX4DjYGeZmWQhToSOwFVE6nhOI+WSQl69lVwX3Kja4kb5zaMYm
2aI4XJ5QVNx5S0D8Zi0s4nLMfdc63kZqrdyQQtkgU8mbiQn21GMRJd990dy0i3XJfPfFFhZd8ZdO
FIe+83/oYa455qZ4bsWiyFQPto0qQwH3cIur6kfdaXCnRvYlaYxk16yt/9XunFnQB/PFX1GkKoi3
ZUkvIBELZQu2aVWpO52wQIdtr90prKH33Bb9YJ0Nanpi4eMcvf/AoXxoZs3/xE6O4J3IN7NudmU7
lXqbdB5zffdSEz6J0T901cTsZsryfk8XBwVO3jubbBFeww49Nz0EgUUfJKbcYINFQp/SvGEAwqrW
bZgdaqegNIYMu5moyLtHA7dlC7IRtedeG9moQ5sRW3VxOSNAE22sHjO/DERDcBXXyIlqeg4kFJlX
PRaY1zabvKz7f+ydyW7kyJqlX6XRewY4D0B3L3x2l1yueYiNQaFQcB6MpJE0Pn1/jIzsysxbN6su
UJsGCshFBjIVLrmcpP3nP+c7ZO+jDsVi9VOE/q/W6/ef9dIq3v2v5S/+4HDBfS7p/8+f/9j99uf4
s17U7z/9AXRC2us79dnq+88O6tzvbKnl//zP/sdf9eb/oRLPfvfvlfiuS/mnadI/a/E/v+53LZ74
kYklY4mrLhSrRXD/xdeKrC8su8Bq2Rg5fqWVHP71l+jumF9IJeEsjGwMjX7ghf+K6P7XjXnkLVo7
OaeA0wmS5aLI/8GMosw+TPohidkfVvPZXMoCnWxJk8DVZFtuxkn7AUNAfjQWDc9/eFv+vXhR+BeH
AD4ELyKsF2KtgKtt/tW/gRQtvbzp8mOZUZ8cxJRy0bjEdTmXmO08OIOHXnqwKsjq8BC0aCZyV8NS
sF0zxz7NVIVyGI6Xzkhu6ZRORZZmqZkLrE8oiLQ5awOjRZO3gBa7LFXzlUgDrbguG6B+BIDOUUDp
HN8lN1iduFN+87OHmRZItuQypQ2wTZyIpA/2kHtiIQHFpmLah+PIMnIpEftZ9xzgrDnV3sT75lf0
SPFt0qAixqp5d6Jq3uFOpWkHHMZRY1bmYZO4nOcPhW5i1T7ACFTGKeSEZ3E+5bf0fYid2N+NUcDJ
2hxEnG5LFU8tj7nE8N4SMyL2vxQ29clV3Tss/lcj5+nxVtqBSlZBHI7xzRwZSbirc23F92Ns+vhL
8lK6qzQuiWnboDjNjZGYjne03OX/jGklC16nNm+qPbIpbhrI/N7K1wl3TWF1xFmsMZydEI6Hb4GX
XpW+MAOyUlX8rZx1fBkCXW9rCrlQpwMtGwjWMnyd1dQb3JHHacu6m5Jef970/GnZ/NMUlMnhJuDI
2q1zM3YOBf4KZgBgQqOAsNIWd1i5i33ZluYZ8xZr5GjXtEOYrQecdlctJxLpyuZWku3gA9OAHOxV
Wq8NHYm7wdfTEw/S/NVMNCDgokrgHitqT9Pc+zSqKbvHwQN9J5rkpoqMaJfA0Dz2dFK+ZR6yDT1r
hHiDtjqmUdWfXEG617KK+4Qc/t0wYcPHZxsHa5AFdIaPPoeP6jhF+pEes6FdGVHUffOW8rGSQsHN
xIR+zGMfXNHYl1f49bptR6hmTRyr4DRO65k0rGQfT3X04VOsWzCQttntQJTnPR549HMA0eZNpEMe
Tn1mGScq+/gqbVbmHVx+vR8ltDjHLh4zo7HffACp8Zqmy48U1MyzH3JRueChdhwn3GPMWI1APtFA
6IyfQnTh+4xyuY2aGpwj94T+HXlxm82ss61kdFd5M14NbuJdClAVO2eYQQ/4pN8PLYvwI+Ef/0zf
sPU22Sq8sYKK+mN77I9RllPB5uqICaPuHjvSfRdn9OpD7pTO1UiA7YbUDDu1uPHuQATQ1jA02aus
kuyN32ixnyblXKl6Lg6qqpob4PHFRwN4Q6xFGwentHXmW+n1A0MV5k7SMdYAdzIMONH0LLoNA8ke
OnV6BtPt3EWz6YME4JI4FFMrWB2EaXqqGHwvCkHkemid9AULBx1cjh7Nc5MP6blPcvmoQBc8pKnf
0EQAusaY0ugNNTV7bge/v+q9OjK2COXZyZyD2d5ZZVLe4pcWxwao0L6fzRhPUBTuWjl4P7wBRAqG
Jv0yZZS4IYQCWG5K+ibFmdgTbZkqMReMOeuzKj7aUXOlPVMjqTocjF31XVUjFoW8Kg4mTrtV5TGt
WVZHW1JaBTs7MafNPPnyG91O6sqUY7orwMKu/cod77KasTfJQ32oW+XcYQnWrwpq0QfpxeGON0Rc
JlwoL2wALLAsY7nhOuk3dTllh5Hk6b5xMx8klarzpybF3MGvnavFGOUuCvLmO122/X4OS9SLSZjO
dvInl8bDtr8NLNyZKKPaZzMyJFT+efaP2U5Y4UAYVXyUGaQQPB6pMBzOoL1uG3TKG7u241c75Pqf
vUjuJprchxXUWvPsp7l5jvo8ujHY3N3paVA8KDpNerRecD7FdCmkakAYc6FiTY8hbiAwl2sx9hya
sQCdmpqRhiQCACblVGclkYoCh1sNaiu5TwwPtnStB1+zXFubYBrXnfT1B7m7iVnVCKF9qy7LDh24
om9sKlnqZfmJZwlGZ1nbXzNG9mPReThL3TR9tNqsu4+DPrjB94WQRm8rpiidy6euUhFSczCfBw6m
702tWBFb1nhfpBCZWQR2wXU1jvo7daQZeOJYQjmqvPFkxOWwF/C+b4a+dU52YS9ZHymfR+g9QI+Z
PzSt0HsnnZI7nmzNmx+p+lvYV8EPjdGIRUvfEbKM4u+oH9lSjIeOB8tohKdypafO28AI7REa+T7X
kQENPLTyDMJ6VwzvDUiYglQlmVa6zwz8IYkrn4Wq+m0dkMsKvTIVa8/P8h+Vi/cJQL98CePK97du
HZffnDgO9xUQ2LOyRHg1hBVYkWlujwnA70jlsGm0zfMNNa8vbnrXjC5ZWHbnHB76VoUdwnRtQMbp
8bhkbo5WXgRMskOlXihtwbXUoCuzOjTY0XfOqO6auAuvZyPSn6ajCrXwoHhcQ5SLr4qxNx6TxPPf
4Hlw68lZ7nDmNrJquWk3IGBmIba9Gda0KFbOTcr+ltsSfLkcHjB4euGF+6BHoOMzMaaQYyAJr0sr
qddwaML3HGv6zkydd9Iv9dmIK+8hRAjH4jM512MfudwGtX2Lcc5c0w13Xn6BpH4caz/3CppOlW7o
bbbPIIiyY2zDU2iTqr6tY9t5CsJ+2E6BgYQsa29v+BkiJs7gLT5Em6hY2tFx4DTEgM3uLqBi/qNP
WsC8Vt/MGzUO0YPlYUioZGfvTLxMj8DzEpdZtXFvcyHpBrSHKbor4irYYxmt16PpXIeiHfm1l66J
iwJ51vWnU9Tb4RavmfwE1ARI3tDI0KKXwYHFVwOcuAPFLnR328xFc5vrBsh3YtuHyUF8mD1WO+M4
R/NeWG3wwlnAfpycKANc41H5HJaGeivr0NuJvHn1ZBFsjSy6c2x6dPn5zJ5zB1A+ADcjWkrWZ3B9
KOg5+pXdEa5GshU8tOX8kTZtCZKU9vGTraaNV/N400hYfDRdxqks924FZ1O6BnhYK1poMrbabZBt
HDlz/sAJoW6cWEmG7va5MtvyQh7XbdaCVdWe5121G4DRoBAwlhmpFRwAqYeXwAomngpB+sYBzUdt
zhDTpRYH1WSCDXZOJ0JgtVZ+9IrYWvPJJhRYN3gUWnfKqAQwa46vQ0dakVHv3m8XZPjsjEff1GQZ
c8lytMCkzIcjCpBV5wT1M7f3ucltBeMNh+mJkyqgedscHwaziJ/MvC6e6PgIdy5mBXfNmktemryP
6BryOa3EnjiaQYOHJQZCgM+i5gmGXC2O4D5QiohSZqesx97BKs+C9Z7GUX1g7oy7TwdsYReRwcRJ
j02BJrxrMdAxiEOsPXkFm2Oi8s4ZgVbfRBIROMpTaByxnE5JNc7bmIP/64zCnrn+Y+wDbFJ2ekOu
wOKndE9lHlhfUwzIaCxFsZYCK8UqKEm2zIN91EZQrYYxcTZSUazZOPN7m2hkE+MubBATo2TwNwWh
eGR0NkN1X4170zHgisHkmhgRrtLCKrdFFj/xa3F2CoTNmilZbZyCw41RpJfBTZ1z57lvVsdCdBp6
RXFuXmzyPESHLAvemBKce1EiTeDNala4BasTG3OH3V+4S+JKn1h4XBLt2s9OS1x1HU51uTb9qt1Z
5KzWszGRpM+Vs9QaMP+7JYEn8DBzmjlv2rAnRE8MESXgP3DxwWXyk3zd+BVeSz5+70YXbMnui0c4
BP6hAdl3Qjw3z0lZpBsQ7u56Dlsec12SHtMmIHbZ9fMaV7231i4FAE3dxzf08/Bkp1bm4pn8cFlY
bNOZ2hVfNm2PEInD4+9Hw38cS30bwwc7Q7gZIfPhn8fSRCBdpCpMj1nZMdYZU8BqZA65S3t0mT+4
ZsVEylmq4pFNienfv/hf8hJMpT71Pra95LIcsMJ/eXFcZGxh5iY9WlPdfsxZS5drWiQQ2qL8/u9f
6i8BhuWlHLrZlpIyqsP+0Y2PC8sH0MBLNbastlwjmjy4juvPv3+df+BBLS+EEX/pQgOI4v+1YJPi
GI0LJoiPqkGzJkDkHn1FL3lRpf2tbHNiGkOUsJHXbvneLLgm7ipUBRsiWYZrdnrV9ue39F+tDJ3T
j7bu6h/9n7Wgn/rOvwlF/x/pR45jLsLOPyfePH4uTs7uk1/x509Z6/j9f//PX1/1u3qEREQFGYke
rg/+st+VI/ML6QOuGBs8OmyVkBTL7wKS/8UPWS1QU4nsZCI4/Zug5H4hJ/UT4Uu6ZUnv/CuCkhss
OYc/mDgXYAxBNz7QFmAdIljLtf0HSSlgyDIIK1dHY8AZ1uyx4FADvgUMycDSIz5Y7LcCe4S+oAGw
AvLYWN3k7AOC5wdZEmMXnmA9jxWV8hLJfX+Ci7f1U5NTeux3NGW3zrZkJfGKr0nKjUZie49iPHR2
YxZrFVGTAC3F3dJAwJjU9MfB6eK9l1bxxg9zSSlDzjafA9VeDxRcseR2a9h+U7dDVoX3VoV5scp0
/eo2Eu84XoGjmmJK5VN/p7og2NDdAq4ySymob0V4qHRaPNqJA3Bg6Fys04Th6tfEUnJvD8Z8opQi
Sjax7fvfBJxA7ERlUzA+tXF8rlvdP+W4x6+nbDbvARHYm6oI7gZlRWcet3ITlnH8tWC1uYqcfMBJ
QE1HnkKSFZnZ7sHOVIcx5ZnFbv6uburgCKSl2sHH14sD27pUS2dDlXPAmfJbI2TiDQSF05Yew20R
Q41WufQecGtBJJOuuTZn172Osqk7Yuc3oLfPFnnwxDgVHc6W3Jbs6I1spoDMrM/SJ5m+ZW3Comoc
1aOVNi5EXC+4jmFD713cEztbOtQLz918ByW6O4PnEXg57Ed/KqcPnSt/240Ze6Ag7+5m8hqrUfvF
zlf1tDGaSd+7aRZ8U5QsNZX+apZpt7caBwPaENt7+s3E8xCm9S7LhP89TP1cn5W2s3PslbRqh+Bg
12T/YMKUxbBJkzAEstm2O+nbKVAlOrgJAdurOGQIauFGf+NpOP6IRx3tZhMkNGeKEloqeIU7V49d
ca2z5ilRVvbEc1q/G/C5sQDOnnk2WK9CQyZoUlMTkKzSKGm2TUxjMmkEUKZzHp4Ez/WLYw31uRit
JyIUOAwMx5WHkFH6jpwYOiB98he7bKMrF9zNtGqYt9t1ahllcFCGStH4cfrAFlRuTvWIWvY4yJRZ
ZQ8RpofW2SVuE65tS9K9w/hZHrTiuFrNEb5meAn4ReAokykZOSJtMkn6orPKBR80l7eGQZzIk2y1
VSXPrW+/0w0YiGtsjVNyRS7nxYcMcV8yXggjtAwMm8oV9r7onSwPVkM0VtHHDDUk3cZA/S5kNrrb
TsEK+YgqR0DirfBbhL168prJucVJm1DVU+TBoyu6bMv+wdrGRRWdwILb7FBEBwMXOERz30xGSZog
1UN8aFyapZ7sYnRzzu1mXrFIg65ZB6eq81iD4IKFIX/hRsn7Xg7NvBPMQj4BnliYb3Mix35tNkZ8
w5q/DF54Mtuy3VLTZd1VU6TE92zxgdBHHgF0JteEQOpuTVVjshRejiGj5GAUta6Vr6ehgMZi9lH2
LeBsZRzCajDBjtcFK22GZwaA3wBGAg6Gex7jMnrmLOi958AD+KSYyLNHK+mJ/VQSTZmud/e7dp0+
39tiAmiEkBoQ9DJSDtG9Bc5uW3k5LzkXcUsn3WRaj5SrcWJEk0Mip3CHNvqfwZTf2trsaMlqAHXM
gOGiYjK3htqu2a0pmTj9VQ6/2dzU9WCs4mAK4q2ZVP5lwvW+81yiVKZZDGwwPd7jtW8J/ViM4eLx
M9jTL4MAlocyGsFzOf65ilx5zNOI637yxMbLGdjXtnIQfS072VfBEO5r5OTbyi6u55g0wKql4+B6
SrzkSjRNsKvH3oXzTdEDF9WQNnKjKmWhdfr2KQxauIUQX7hWM+5fTAPbNq4dY8c0ZT4QOcu2vt3N
1hp10Vj5RlXdBInCizUE/k2PG+HNgx2ED8GJrvQCES+WgSOf3HgPoBWT7TyrwlyV3aw/gK984xnV
3nCsQokPBEx3jBfhyjal+QCNXuxQeTBZMDLduZCweThUxbHAunqp+9DYFezXTkNlio/Z9r1bgCeb
LvDjI7dOcYDQbr4yuqQblpTh20CmB3i/wAEIIXi6CtAPz8QxwhVzEH3so86+Ehu1Tp6shxs3nna9
UbmrqTdZc/bUpjWrbHDcbabFfOtHWbZljNx3xVKZRYXcUfuD2i9Bnb03lCCIM2tczCvGsB6LOrlw
bMSP2E42PiaHWzyjDqzW1mFDzes/TPShsoABVR3bIrltdDyCRk7yrcu2dO/zA+wYkwcUttFNuDXO
7ist7Qgggxc17wO+0DNkIOtzUHa9o2nZ2eaWsA5+J50XY+L1YPnjbbAA22Qs1bZthcqTm6N8VlyH
Z9X27a1H0vQ6DCzkgaTKrnM6ivbSSYabvPbgtNmFfyjm4asM3fSaqsLkBUemiVvFopYx63xOAuUi
soU1U17pmDcdh+5+nXLl33pZMGGw9dv3cGlt7/x840xzj57uTUtqI/SPJTPfXU6fyZWV5fW3sYvl
qpmwpee6hn5kxi8CNvLaqkqTwwNJBQMs7zalpTOkmM14nSphbt02bmh2Ss0rx+iW7Ukby6U1sdm4
VuLiSbP6J8Nmj72hdawj9wkGIjLGmkqryY/WEs1gjStnKSeMbYiaZUgdw8r8tYsxf1vNaNUO6LQi
9d7tpfESWwU8rMDMiMO1Lekario2OsGD02ZhzCMPFmGcPHa+btK7/z7f/zyO/wf74QW2S27pn5/v
H2rVJ/9j/d7WRVr9Ka7160t/HfKD8IvHXxXQ/7Kc15eh4dc5P3S+LAFjUtMsCH77L78f870vtsk6
mRA0hOE/hbUc+wseXJMeeerAiXKB4P19Sf5rV8t+ne076/V/Z3frRctm+I/H/IiKJzLWAX8n86tj
/iWrhbCXg0NO68MEuW4ktZI7VFdWabRPKtnskNtgM1VxFt5FqcN5xQa6cTP62HKHglMYNnIFQ06k
zsvPrtnat6uHofPFV2bYCWUQl/8hGGfvwJ2IlHLEe3SVGsCM0V2Bs49T7hNRMqaswzXGEf46LIzk
JrdqXIYF6/UTEIdCkk1KY3xPRIMs0gh+wlZkyHAQlhTacvLX7i4HiXFJrGy6zdEd0LinwdiaEiJD
KzQ5Hn4FFcqik9jJkeNMwwJa+2cbynoDgIqmEgXb4jSC0z9GE0MK7kUeNWbJN7WRpeg/eRU2Ui1G
RItaJ3hiwM0lt9PAL+hIWdiDk+B0QsipJ9KVGqN34EkTBVsHmOGPlF/4wRPedOsj9ZOCnlPxffY9
Nt+5NXYvzWwQuBZ8Zy8Q0bqXajTz+ygHDyimNLmMSlSPVJjWl77D/HE1ySn2KMy0TU7cScDptCgL
S6xNS2L0BLUX3mFM0VvpN7yRGSeOcmU6qZhW9EUu+P+5AVcRhreiqLk5IdOb1gbfvlttomKs4b+X
3cqbIaI3oPsxTUW3HtpSco0DxTt0vH872l+jawzhcj8nyXi91MDupmRgJ4MMXz9YlgzvDJdPC1Uq
tMTr0DuU9EFgCUaTpmrAPcIUoduwILTMvq2+5OiRxsPslnrrBxnTSsfzTRa5cjeEjr3uMBslyQ5l
OTsQG/LbSKHKW6tq+6UxOWvhwZb0sRAGAYhilOG27ZOeDkNmgLup4RSNdhI92FhWiEvN9HVGU4tv
1Rucr5zRuFXzyfPsTY9p/x0vbshRjKdV0zhBjGRoxqyCsiqle0b281ExnOh9KpRxbVMGOBJbCCi7
JuyMgbpD5u6PANk9LJRjo+6xgXj5deJM0W0DRxxceev7T5Wl3XPSGeYYr52CVBqeTwwUGIusdnbY
H2u2jisQT2NDLx9vRHvQXlqHb3KoWYzQXyUJ/fiO4PdjjMOKuKiS4zYMQmwAwANsdRB1a/Sn3m+U
eaQdXKcvdtNF/QlKGQanio/PK2O98aDx/a7tXJyDshyu0qHvXhihb9hSxtcYcdPoI6Nyc7A5dJW1
a5wwH3CcDezCfAJPke7SGS+xSTshrmqd70weTqvewVQo53h8TnuGNCNK6nOXJZJleX+fKSsBzdnY
C0fStjCY8hl69n183wcub4MggCP2ddtCJGRfUDZrBIdmk2a23Pg57Q9Gb3fxd6/iezhogthqabxV
Gw0h5grEZ3bk5ID5P6oI+ofXfdaJYwajdB2F9XQC76C2wZTC9+zxtct62o+Ga3wndbaVsHKZFknA
h1a216mNm6Nhy9fp6YHTZbwh/bXn6Oo9W21LBkcpRbxd1ZcxNO9JmNkAOincNbpFK3DZ9w0FTq2w
8eOdqNhfZV51ZVZN95np4MacbfGGbjceplEWDxUspUsGWGKN9WTGvNOR61DC2S37g9WYJnrv+vNN
KkO9xxPfr5OEFT7IbAD/0HiwdLDXS9u2bthjzW81psvF+Xwh8nCmjk5gqU1oEXbqdg8Ksd1lvmGe
21aMF7/Dt0lx6reIu+0e61y4Tel13dWEZVnyeN26xrN5mOs6XRfDYKCHp9YVxrRhpQAt1qndbbCe
UH4aaHp7WEviTa/blzGT48Es4/4p4wTIB2M09nE7/cCEV+wp8NDbvqXkZLBs8ZVQCAVOk4Ag52dA
SgnM2OZR+fWYH5wS+HcFZ2sXRe2Szo+h9QOjdU8oIaj8Bp0mqknIa808mpCbgf54bsmnwp8DvKgS
j8eQI7ZvQ5n291EnxXMkvaWfvoQ5UJMW4VQmvxFgqikOJhnz2hBA2VmsRlYitcNd2dHtVM8DlUqj
MF8omDG2/UBzdE1i96YK6TXRcqT7zCmX+hZVnTt/Mi5dGD8HseRIaUVS7djM+DetLSxiwVOfMwvQ
9XUd5WUYUSniSZqPUzLNue1gDZIoAjg9Sr3yerdmNWs5VI6wwINuwc7aaBZqWi3YVFJTg5ExLjYt
ViTsJ8p47huze+ETRxVoquiMNZ323hdZfcep2Lxhzq82Yb/IxwUfA3fcmZPdEWtLQEXa7NZQwAwC
vUH26XRu+amw7pBxcBbubi9GfNiur08ckiPYqFp6G2p3rac6UcN9EuXh9ylU8baJ2BNJYX81IvUj
Rbd7RbFnVa4rSnpc76lyPePMNZWvbSSx1WBxn5u1FE9x6+4nJ/tKbQdhGunt55rgxyzmYe2k+lUP
OoJ1WtubIGjfZQkcdHDMI+NEvm0tu/lEghxWeWbUGztEYhpsVdWERCh6nX1hUfyMiJB3Y35XWf5N
FffVdTkjYNCXgWXGjoe0X49JOzZbJJX5JtZ0JDdl911lySO+Bo5SnC/S2bFWozMUh4D4wsYTJpQO
Joz+lHtyOcxg8u9d4hTkJ5xtAu3u3c7zRwNNEdFGmoyCZJHrNAw+W6u9R+L7IVhkYkOQrOaDN3rh
zQ1+mJTttRmcIobC68YkqxQ48q2O2T/PkTqNVY4KR/ZkO1QyB/8yOIds0uWRbP3RW3ApmW89paPO
yQ8iNlapv8Aeumhvk3PBBguldCiaU91PD+5MKTiGWTCsg0e9dDZ/7zl/MpqimYhwGgh8zbzXonT0
ho7wYevhjV7pqit3kwJx1Brhh4jtVzQr8WZKz7k4pLjIeXl30qKrxPY+6HkhIz0r1nhJ2lw1FQQ5
Je3PoByxAVnfO4TdZKP4lpjDuvEQNgiJxIXdbSrJfw2hn+w5sQT3dDXGYD7GbIeVY7oAVxa3rahP
Lb90nNf7NCE5qQlpk+XiI0rZ0kZDNN20Vra0amdPU97494ucs2+g76hVQBL/XiE0rIm5roLB56ej
18blkX5tME9uOn9+7rN0vxw2sVVfaKqhj2eMruymJlcQH6SNTSkxzAu85MtinyuSvluTr19ltG63
BTvNuZsex07dNlZ/Yfg/c1ojxe/PmuseZVRrhUlvUPFaZ1zmXljgTfec1GMnCdjhusoYBv1SVgTJ
SQ3rwOtACJfzrd1W+dV/D37/mcHPxoDHkPTPB78zruAaWtMf9zq/vuj3vU70hcKWyA2QhP448EXe
F26IdBWwIvx/Kx3X/OITEmVTSacSy8rlxX/3CPtfgLfazI6WZf7LKx02SH+e9eBpYQxgQ0lMD1or
NT5/Xum0lp9JhZ58QucmfkZvkz/0DASLmtb4LtMOxezQzb36Pm10dbOgNFYyhBK+riKVba1FoMv6
fNbb1p7yS/JTwUOhI6aPqjcxIZ5oIbPgDyyanxcC7WPpGKEFipwAoF4EwoHx4tr8qRrW6Id0CeW3
Qe2E+9KMkr1g2bN3fyqOcWmITceeeD+nSXuEGeKfVbdkMCikNdaOAoq1KhcZM5jq8Wte+hpDAsfZ
tcNjiIK5JVJU1eK+li7dRQxk01GZ3/J8rt/JC4fnOXcExpsp7PFWMJKNi1qai8m/jGIKGdH8qDDX
iUAcWsqbDnlrGx8jYumPoEmji5NV4ZHqzPYznmzBUbxsrNs0aRTNfTxr3c4dT6jp7BU0K/dy7WT2
J7sWoqseYg4YAoeAJcz4m9is4quOAfAD+yLFJZRywVaaZXXUqXwdcLXeZ+PCUU/C4Slp+v4hinpE
rcKY228LoP6VuECOL9MjjIZZNONAWkWwEcMKeiUMMtTOFBuWF+UBkT6LRybwLYWjdHzhgUzcRFXF
tyLt+0M0p/3Owt72MZuquE5NesPn2Dvlbd8wR8/zVSOKYV15QbcLprDjfkogkaO/Vna7wt2XvxKH
JWnPu6T420qjw6PsFFfaCgTVoKXPDzpF3NItoa6t1DOQSs1kP0lRPIKeTV7yPsX4gOWag7Se6npb
4tyzSAgDHiRM7+QQyfnswbJw1Vm50dytVW069JVaVEckM2fDItb4kMeuSnCFODhlwPWPPxgdFF6O
aaEzVgWEqyZLqtsU0P7KZYFwHbc1T3FO8tTiheW5oS/02jYcC4NeORJYxyJKgAV7UfxM/ShzS4QJ
8ZucRrfBUusRCCyISNJlWh7mZmYdQxqMgFZYWTdgxqM7FinJegwNHnwliV89bPzWu0mLaPioAic/
mi258jGD5rEZOsVBv0qmK7abfgdEqq+eojoTr0bpx8YJZIdky1IF1ncAAZ1aJeao7od5JB016Nx6
6/HBk/aqpLqz2AB9bTkIrKNmtN5ZL7Zk2XSv7zuw5eHBJbXXrdoQq09q624VlQ4mT8FYhPVNWM6z
M5jJlaS84htJQLNasUXR8Tpo8fE2cRV+zQIzOOcewyqW6Tx6nMEXEOqHQoPsCsSg2ODTq3dhUpXv
UMKiJxz935h5m42PJEQPp68/vaaFfdNZVl1tRSiq1ywme7Qu2ozIDfbN9o19SotDmhz3MRR1vyHx
jpGpJ5hwndgTYda+vcNYHuFPTbmeiedIWttadxuCsFuTpcPyN6iOLHmTbtwkIh819vKU11Zw8swO
TdZJspD3AVdsrRR3NPawwdqIGnM/FG56zwbY29epyarKiHrhUhLWmm92ntDW6XIzHWyz0euoKtMM
42BTHGPtyBtS8qDyotrp79swdXljgzJ7oTZSauJcvQMyiPTDUcQTPIrQGJuvuO8hkrswKQ/058U0
M5q6u7hda3zUXgAFpLOyAWOhZgTLZ6r4amxzdGG67rAzwkR+pc1v/JRFMr5pt7LODs64ctuPXahX
jqdbsY6EIzEqRYLjot0sp/pRwP43qLq1zOYhzrtmg0dmZDvUphRS5EzcVXByG93TOVlh5WfoxHOU
MlHn3DZry5X7ySwfmV/UvmuxVKVEVQg1tywZOZ/oCpoJ5ym40vP32RmmcjtYvtzUjsJDXyfICkB2
swtLsGJQV24h/aqH4MIO7GU22CMeNLpUbr6GOscCSYKbyEf/igTTZRcxsQm3o8y/WBn1D7NVMOaU
hXnvW0F8y21xwmeVz0c8Us8E2Kp7idXhXlmdsFdmmonnEdD2qwNGj40mZvdTAp7wOaQklJsUq/D7
kPK4W1NN5S0FO7he49Jbggcu5EcoK4RvYSMA3uG2zdNuPZU6vVHMv1AKAonJsCvLmywy+Xb93NhZ
HSe6VQfUkUudZBBCUOdf0y7iX+D22GfPqwQy59yLBzds/WOW5uMjIa8QAOBAbM6ZDX2hC1aV+96Q
NdxGLW6iumkeQNEEx5gf/ANiBw2JuvX2U8/EOQk5f8X1ONH0KI35EFuFJkemyVoDdNrKXigKHDzu
Ryq15iu7R/RD6CMbPWa3slA0QkjbuYgaohM32Vzcj7NYcCb2uZ3quGYl7S4tkaq+jSn92C/v52Nb
Txbmg5nIgWsE+0y2xiXPh4Gkqz3C3Irm5Lvo3fSQTsQ2V62c6EnyzF6fNGb1O1YuI+fsKDoOluqe
OdeXt4PlDQeuJ1+jW9UtyfWAPUg3Mq0xNGpzA9UrIebqRPJudPAXkBRyojUCrLVNvNQ8ZLJwL0RQ
xfn/sncmy20jW7d+lRt3DgcyE+3gTgj2onpKsjxBqKwy+r7H0/8f6HL9tk9d16l5DY7jhMsiKTCR
2Ln3Wt+abXc8NDwY6SPI4SZ3nc96QY9LNEoWK7Mxq48RXv9P+uAnh6bQyh0wWo3+SM9Ww/ILeUgb
KWoI2un2Nurj5A5EyvCptO1hnbTCepWc624lbedNGy6bJpR6Ge3mYSCKt66lLB7zyf1IJAyxHH3o
hCXxC1UnPJ0+QoiufnBfGVInj8zLmurOqnGq7WlEV3BTLCsxyZ4RlX6SFkZvqBIi1ytyezhQLSAv
rnzBWfexroL16Cpn2qrQsrela9leSIaI78XBcD8LCRyprdMm23etFn40S2VyRLW4xb1JJrq5qQeQ
V/A6rMWfeC3EiC5yVwREL3dHlqyswcX0OSPkN9plr5S94ws8p/xz3I/y2QUWduYgWB7J1zlXuT1t
MlVlB7tqSg/tCxzNYnyw0vmVDfCLEYVvcWu92t3Q/UYOAxWEUSN0aMzu1Xa1eG/ZTnpXiXQzGJl2
4suRnJRLUkahhX5Rs9mjhC2rBPcCmA5iM7qIjEKElvfKHJLJg/ERMuyroZWcHaurN9ks5/sQdTLh
IkTKZdrq39PTf3d6sh3S2X5xeiry9u3HeRkBC8vP/HF4wk/5QYcCjcF8iZUAb/znwIxTEsMvrOwo
0pioGQt48I+JmcGRS9f5T7Cx4Y0gNv3zFGUYHxiimXg9GLFAdTfEP5mYGQr13fcTM50IOgtNHK1c
5nMO2r0fT1EltnPpU8zd2iW3Hk7kbBFNhdL0zArZ0t4mtSrHRx6EhENHqrwOJKmQKQPa98YHrIWx
L5OlRwxVNR7CucJCjiPE+jzXEqxcHjkG4+pyOhVAI9KXaDaqU9HM+nusgtFdiS6h183w0J6WIqhX
u0iziie7bW15aCq3748wXurhui6tfBO2CRpxAnSx8U9Wcl0i+PPoKLcrjPwnvWNevCLqK8Bdnc9y
jfX5E210koUAEhyMfsSpNMWEMDPFxNs8EZi1dR20pBtMkTjmDSuMrlPwxQf8F/Zeq7v60BdZjDM5
ysf7vtJoM3VyXUj3ZcgRB4Za2jIBCorlUwE9ehlNtgPVMT7vyIAKXYFLbSEPCQG5gJTGdVekaNho
etUmj9gcFSv6e4YVM9vjLFZ881xlfe44esnIPJL/3Nw15RBbV4Owzc9ckekqadzYr8+zVc4HEpsa
zbiy64BmYVyLFclY1ljuaqcM040c5XBdxAYzKfp6OEGEjgYPC1RPKjCChJbuGuYbQODQycq+s69Q
bpFPM3uC6lXijQwTuoTIumhyy/4gMhhiPXYUN44skKocKZ0Lo9i2y3UpEZz3SoqHhuHCHdQXbXyn
qi/jLy7wny8TLcVB3ci8MTPxSCat2LLhLzBpMMb2x3JI6QZWmdufBsTqRwsKFReqTvyQpn8XHyKQ
GGpTp8k9hXW90SOqRz9MhttmgoK15NeyLGGCrKcyCYiGE+LoIIzYBIE+b+coSnYJshKkgONDa3VG
BOgmlevIxaripVUbHB2HstwzFFfbk7Hj7zEwAhNI1WQekDTVdCjn5q2QZfpZthVjOzdpLFrH1eJ7
dHwH3UIb10iEGlccGwU5ylBBuowWYrFHYvYpjI2+9Wj+mncaV9DkEFYGn+gO61cBE4It/E5th2SG
URRvd43rtNyJWYz3edGKBQFDVWkI38Y97wwkHUs9uVrQaxAUcM5S5Vr5oR90jmEkgVMQtalxspx4
PlKFMUWNdfxAHU+mWoGV1GGJdWlwY4U0JdadYZ102yawbkz8T9QE7pZQup5TJQqepEryYyfs8ilu
5huGVOb9srJv8d/qazoCsCIrcT3HHCh5aLeeo0oTp1fJGdpQpf6lEJN+W5hJ8DEoIxKQKoPQrJ5Q
2iaFVTBFVrCL4z7ZkaCCfrQqm3c5wCgvrdp9DAwNuy+y4pOT2M8zArpcxZA4YWydEByaiOArTt1x
M7ygQxrCVZyMA8Q1JV8zc8KC2BGvh2w81dWDxfAf32Kjvmi2wxC35Wpsk5nhZtemn1Epu6BKcZyu
tW6q3FXSW8ZjqQa0mjDlis+GMwVnmE2Bjq+7Nn8DQhTtcgibvEapHbCLkvFFUOSqouF7GHTYZMmI
cpcxaLwhtm1kzhs4+9G0/NVAq9hZdRa0ktYMBAu9a6Mr4YbdGfsTQAiuz7kZq3uWNVoxOZ3cgS6R
mfjuXrOZh68cVdlHh+GRy2kpZURh5eGdmzrRvveL/J3elrtOdUqfVQkB2dpMhaFjZBQHVIcPbVY7
B4C14zphdT8KrSgzlFKT3Lud8r2hBYGh06eYRjOwV7ZdMfYmwWLFFFJ9KtJgWGVhBwN3EEa8JsLI
fDWdwV0rUc4PBY0zj+Pk8AILCWuEiotrmZZ0Onp7/Iy2CjSfVO2XAL4OnpZq3hToiOG5S/VRwqC8
nQXtqH505rspN4utSIP2TsJTuUKsjaKOaXLi4W5Kqm1RNAHTrkp/g/Jdrw3a9g+xoRUtFL4Qai3w
8ZWBV+cLkBV9n/e5/ao4EWjrmaW1mdlyvJCkXabqQTis84Kd3xloe9hOj5aCYa/HHakwIAn5FFSY
XZ3BDI+FW5cUb/Sy20rnIDi54fR7NNXtowmYMPYqBGnrRp8QU4cC7JQ/kjooBNafGcVH58E//z3L
AEfi5HA5xcriGpJj7Gno007EKA73qa1t8DS611UvzWgF8TL0Dwrx9HWoi2rN6DL+xDBVnuMmLa/t
0oGIOiBXX2lW6D4Y7kir0MFIWox+hFHQN9DGhZF+W/dl8pJhKXwJnLy+g8LjP5eJH111CDBWIWqt
J1Eb0ybUC2bFCDM2/tRWeGBzEvEMflv8ggyV2kOOrg3cpd09GYbOkCkymnytIZTwLNMoOBqH+l2F
OV9tbPobx5xxdAvYZ5iuTHqHy1B3kTgXhuI6tsNHY7TNldnD+oRtiakMXOV8FJGwPkteX/MKP4/u
iFYagJTo7ss0o57QjZkHvZPT2FshTYu2eG6tk41W78y4rA5WmllDiAl8GhVrZxhPXVXUW5ztzDj/
LY7/q+J4ibT4VXF88/vwf/ZvWYmSpv7BN3IJw/izRLYvIwPnwv7+Tk9myw8mHBAJAYT+PqnImEO+
lcfmB6JcBAAMG3XaQiX53/JYfiAmmX+ulL0oznT1j8rjH4tjFL1MfCnemYHyKTCq/FgcwxgaoUXY
M5l61IeKcSvQ4OD5u4vyV6q1v3oTIkngjvB7/kc0VIvKucSxMu8xFVdMxpp5Hdq97WGobze/fivO
Id8X+5ffx+Cy2Kah27r5cyBUkbEXxYGakcdFpE+mEQWEhGAllv0/JakGTVNNtsZsGitUncXfvP3P
xjIHrhLpXvQohOBLW+w+35twIL065mAhvIjz4SwRuTu4f3/9Gy4v8b0A8PIW6AJtwqhIlrd+EgDW
tTZ1ui+qvSmG82iqZ4qxwus4tFFWV6zSP896f/HNKeenGZTB2zHRIimNQJklAGs5XX1nK1IBTqCR
EmBvDKo6Aq8QpQdxIWNq7mfHFH6y4Q8VreOganWehZDjVhX9IkY9SZ3V6wZVLLPaQCDoj6mlAUu6
BBUXvQvXi4kWQluq/XwlK0FMZUaDtKbRdgB6pn6T8bAL+qbFv+4wJ6hbXT5PjUtwxuRipaB3oW7C
quOxjApy3enT+Mwctj5Rbw2LG8iu2dQrNztbZhq8RJNd0C6vAS8EhXlrtnnyYKGSWvUGYEhSXAMI
GLlAm0scKh6CigaXWW37bp4P+JOvoaj1W5VlXww7fSgi4zPnjPuWGQknDSc7lvr4KQDawFvE1oa9
GRQ5IPx1Us7VDqsPmINcrM0mHn6n+KwOdhzelhOc/cil2Ddk1m2GYrBuRpCpCAos/ygD9Wxrwj/G
IQIHnjYLs7cn20RzzyNJKutJxDEymCo4txbw8s5JPN3tUTxhuADK6uNailJ/ExMGes2hBIkAODOf
2L4rM9CtZEMl0E4eppvAhb4SQ76OCts9VxgG1qED90Q6kY2IIY6JBihRj2/zsa6tJyO3tZcw6evb
vIDtvnHI9TkXAh9OWkfdXleMuVE1ETODFgSLQVbV10VKh0qiedjSLGOJZBXdyqKYvHjIBVOQTm77
KNWfjSJxYMByYNPCSHavXaTDLfcwbJzIKA7OUUg9lUeFWPm439dhZS3AmGjJJ0UaekJtU9+XM8/+
rG5OPlT9V2zj7dkAirqHPyauxaisfZazFuiSRduuzcddnqnXkIqXU3cEvDK21bg3msi915nO7RCL
19dzoBV3HbYYybDnGlZMieyjTPVtjWTqtbDMIFjBKAloK5vRrnaN7gqLO+KLObTuIsZvvq+QXPit
LYBLBNApkpCurPky9igVMx9Rejncl1PyxFGSZ3sfazsD4uoV/uGEGN2e6rKjD0i4s9hJRX+U5j9S
OoiWB7Nsqis08Uv4SmAWt9nEc4MVTe+FMOhAv1d+Nb01uPSXhOj81AexdtUGFj6uEdWbhY4yR4NF
FAq8AXtd6RXvFiA7434B4wLelgg7vwxJF8PI9uokbe75TuDuAt8frkaqf5qDHbUL7KNd0+s+9z4d
Omno0DP8bvQyM6EOtNLhOMtQnJYu59aPSRkvwMJSNkX52rLDN8a7L65gWh20rf4QMaLaS9SehBKc
NCcNHpNCpwNvc6Xhax6RWIFm8JN6NRsQxP2hTyAqkr9szfG11lSAMplSrsn6eScSGYI/SaDTyvGD
/uDTkd8ITb+HK7pt6YrvYw1+ScHIbTcnvGzgW9VTLTSbjnUzaOuyqottB/fhDVMhXGlknJtm3FZl
oM6mWbpeLhJwRVhtmrtOKxV9Wd05RNmg4NCG6N16ejBhCFBwZRrlfOOnSQtGxi+np0I46YkNaT4I
ArFXNBle64IRn3QdbTVQXHrk3jLz1cMTNe0u5AHAvJ5z+yoIEGinmchvmsw5pL18SjLgNYjVmCXi
8zdqh4MAjZe1n2jOdeAnv/vMchkrNBu7k8Zbpxvlb3GH8a00cMSszJR7jy3Buo2meDxhN00PVibr
PS3aZF0M8/CxGImyoRrinXXYEOhgLG4g2KTj0gTR0heBVIr6dDbuCZeycOzTchNphly8MFPcpmhs
NhYgBe4Ta3zPsolBQ5VT4TY5Xko7fjZDkwGSCwbEq+p0ySIZDS9GJbFJHVICu9k2TqmKhoqJwtzf
Zo2j7YGsWbAT7c+2UEx2epfvvfLNGLCiY5/TZhQ7oogyVBDGBCZ2IvsrMcBQWm64B1tVXBVjh9qb
8eStFYlkH2p4Px0Tt2uEcHMKufx9OD4Jdq61NHDecJHSsyIk3DN1AeVGaxP5aFTWxiLb66VFDfpp
7K3wxqqt+aXJ1boAUxmt4rKubzpRtrCVY1Ye89E94ol6RVaJhnCo+JInjaRDUCdbEE8NxiZObH2M
cs3Fq2RbV0AX6Q6uZdp0X+uKf43hf2McwcAl/rbIP/5eN79PPyiIvv7YN9OI+uDSyrYZ29JmvkTy
fHON2CZVPhuajS5IRy1k/m+RL2h0gwB05FLO2Ys15E8lkfMB7xP9dP7LxThu/ZMin5PBT0Wjq+NT
Mh3BrJQga26HH6s4fJY84jqz3rtYGhWp6KrdgDuok6sQLsgVzbiqf0SID05Pj8Lu0Ed5ex+WWp/t
EtiYCbTXHrw7/jZYLn6nyGEAiyfLMfACMjKie1A/OrDWnDBzlw7BzJjwJkgEDBCkOP55lLn5kdv+
LUWfEfBS557787FNivm+qd0zKg04tjkHglVhpT5WBgHcgjbefN0NC9SPG5m2qwV4py1b/aObMILF
7xXJhzwfkiMeC6hHmQNoa6FiDBb9BVIFxptsLECiakI8+LPUSIHR3C+NrPFclIUC59EjJD0EfUyr
FXIU3MAevP48NK43G00MuJMLdQmvre3wN77/iNC2hp8eRF8fTDgvzo4jgYsIMesOM+RcjyAhfrAx
B8Q2Ml84tHj1Mvelj+cq8PLUQcKfQUC0yh4zg3QhsDFn3zPxpxevdby7AHO4Ilxg2jZR63pDxOB9
FZIyDXw8wv+zGhoOODjJqIFlGWivXafgGbVxBhiuU+JUO42r7wZTpM9TkoI37oNOfKyzpYhORp1X
SxEk3zplqn2Zw8H1RlX5R+S44bvGZnlTIkjbXT5fs3wqVvYinOfPgwS8m69yGqeebTF93+p1l++Y
7Pfw6TH8RgUXGelCu8mRb+C1aSPJYwvRSLjq2iQZTpiyw3DvpyKZ8SKCzdqGpg2sWM1LuRH7UNRz
LN3H2SgOfW3wlCSrhq0yQqdaarpjbVEdO+DlEdwzCM1YC+QbHOOuada8O2T/pjEj1B6m+UiDN32u
NZU+hghWPlZl2JzwebvnmCTYLdDr2sIqVKkjQojgyq+QM8VTiUEVd9AVR9bIc6BnMVFtqd6xH/Ve
PJvaxpxlk+9AzMHmMyu64IQEWUtWCbPRfJh2joFcN02l+jJY2KnQyWZZsRJ4WBYaARKBrRvrLaap
tOC13C7FtoUPCz2HoQDb4OCsCzvetCg7HvzMna6jeUg8xSNkjRTcv86sLCL3KRicnWhdsa3TUD2n
VP+7zMFWwAA4hOo/tlHm7BKhN49tYXw02xT8uam/5M44xR4V9tJK7mZt3tCovs4Cf269BoTJNnJm
8nhsRl4wXoDm+MAtGNA6NVzttLhD/ZrdN5rCnjtNkPYiQxy7IGfSRfTCJgOcCyvBajfSNeYjRDKY
DgljETyvpnpioMIhMZuAL/k1gTkDuraVQei9BzwhYlExwd/mbT9uZNFCytf9mGDKodF2Vamaa8QC
yE4clVzl2LXuaCyTpxH2GCp1u9FhAGUp8mNHcykRiBrs1sOo2x97RGbXvhDB56mOY+AfxQHkgLWe
ywUPailrwHBVoFaeYnIjPZ2feZsrtPBrLa5JLAmKrHqsAAvHSA5FuOnCniQoLcnnJxhv+maOq/Cm
55BwnPWyeAZdN+1kZeugTiHGkR8VlDoozmnGMNynLXDtMG82qstNBOlsFGLVpYO+7i1ruhr8srgP
x7l5cfn9FamE8xgfyqywm7U1B/WxAw7G+dda8gwHKvFVtoQsrvSqA98a2gUhoHlZe3Uqw7MFZHXm
lE27XdZZfNVj4J68vsYEp8eSaBBllQie3X7c4abNvWHK3ojZrDZ1NEmkkpV9U0yddoasxObfyXDe
usMYQ9rP0xbtgjPXsAQYZdn0+qkP2czRI7ArNVbnY/hnZ6mS1v/ijllyTAvuUMm0B0HlcheVFpvW
iP7nuR4yZ42zhW21X2D1tIN5wtSFle/Af9SHModBz+0wyAc0JbwRA4RxDVeMT5JiErke9IFmbTho
bn7DY3u6ISCgmHDXz+0GreR8XTu4GC+dkX/Lpb8vl5am2p9NpIX0/AcwZ0FJ/7//u/REr38fo8/F
T+XS8mN/agbUopS2TOUuidXfRyIKHWUA/CeqHsqixWf7Z72kbH6I2sZ1aGb9VC9RSklIp44SqLok
hJ5/Ui+ZP7XxwOfw9iZNLwzudC2Nn8qlioHyPAQ43msg3tObwUCzWeWG3cKjgJnJZqcGzv3TPkL7
kmmHQoalWXu0bfM92cD6DpHN9F6DqYO7rpemN8ZTP1+N0DJ+51BjryPLtuq52uecwpmxrsBBTMYj
NLAZH87ijJPMCFNwttzZE5l3JkXIHIfurR5prX3fF11PCGNptSS0PaqcID/PGvpWfyUcNI1w5Rh4
2r06LPQ8O0YIFb3RsTmRwyGYZmYGs5mM4QntUFU6jxhb5iX2Dkk7e5aATE/3Dohh1pwbCEZi44CZ
SPWXqLLbudvlJXCBzGv0jMTIiNBltJl69TkETbG1q3K6gwuQI9CchpgftSZt/lTmsCKu/70B/7uh
BO6CX96AePz+2ugu+bL40W9nFvODYXLIIO5jmUJc7rRvTnckOHIZV+gkfS60K8YCf0wmlPWB6k/A
aHN0Jfkx7s9v9gf1gX8qEAIpl2PvogT6ydr+K6s73fqfDy10nhWOIzwZMLTUhXj1XevZXmbL6N3i
PdTCELyku9CccXSSFyz72h2x85V6QSymHRI+RDiCcaCKcInomNn1PTlYy0R65uGzKcwiqPZaWgjC
uMoeYsRKD1XznkWmc5oWByPAPXFDi8I4tDiW0bJL2nqEDCnOQoK2zRCnWDqTlDNDhvPw5OIzeM0b
B3uhPpP4SxIfznZ6mc5JhPRWIFGLGwp/AsmKPLCsFb5np9zJ1A5h3iTa8iOXMOkkjqY7WbUgM3h2
EWpAsYDIrXHGh4AspWd8m+NDHUt18JMlN1yVo03Es8yTAvZ5XThHy7Wb98YBSZPmGdHIIsw13Fgk
dXilgVBlIkWqw4VPV2RVksoImlUG9V4XSpyXffDNXgKni0Lr9qoP1dM8OBBxMJ3uG6WjXiHmQNwE
suL3B1HnP8dWyksjE1zkK25MAGeJbuQ9riOuQG7ADY2Y2r7SdNT71ahq/pkxiuIKfJH5NgX8HL1J
PgADDD7tQKzVna4CZr1+SDO9UxA/KKlHfmsj4T2dRBGrHusLjSA1QRp0g65uLIN0pRwK1o1KUP47
hGOv6iEipcuP+oMqiBbPIzQ4QEeX60mQShzA7cmA1bKu+ZuvX2iqBySvo412n2W3fMN0osEg6HPT
fLSmAo3TALlPrEeCwrM13N0kutcyya9QENyBHrUP+dNpUvK/zbTjumAJ4DN+jelmU9dMpBx2ADel
zRDElkuL7oXSl6zpNJup1vth/hL6yM9Wep+7z1M6PGCxNLcTkHHDI2iW3FZKnXu7BzMIoLfSPOhe
8pwbLMAFXs+qzVjoAHU6fwvanleaIY0FKzv0+WzhsohaXY13IU0mZjFtz2oA28o366rWVl9ZCI4h
ACWltk2aOwYAFp8mSaj2ex5tK3so23d4NQuYqC3FTThU3ISocvmCi5JsYeBMwfIYi2GFHfMYmqiX
uBSNm54lijaA2/JUoGg19kTcqsNiTVdIGBSfG3NhNNMw9kei/IjkI0eQgevKFx2R7uPi88mBGy+2
bNbJ5I7la7d8RY4iPyUzYSo7ouHFmN1j9eM8vUF7HkGY691NaYjylZga//myhCPN5vomDe2+5WZf
pAWvvtWPD4PquCSDDKa7MeBWQGxaXIFwoSEuLcN9pvTgwrXEciuvTB0WTAcP9ipFS8sKWG4JznDR
DmcNF28CvrurdDYOno3V62zX9b4yS2hQVmeJs4Hp41mLdcBPJe56jrwVjIUUnhw06GJCtMHQhUQq
E0DAEGX8Ojq8hagZ+UIr1OPcD7rOAtMUNzn8H66PDxLr3Eucp5OOTHjFPE8d7LBwT0ORuqe5Iuts
1UYTr1CQ/0lIHfBsEq3sJlR3cdXjfdFqFG2U2LO71tPS3hPNrm/JoHVPgJE0/K+hVgOwTfh91VgH
w3Zupi7cuNwUDIxr+gGrWbFjZRKF0sPUjKgo487dRCDJdgqV0kPisj07eaKhmRQpr0N6inFAY04W
U8uWoTPTPLdm2XEFybN9KFnoGKHCpHpNdL/au0xFdthc5Nkm//zGomLyManE9fzYuJRw+7Fji1Qz
v/CYJKwozUWVvk6lBrxCJx3nGBQ2VHeVZ2l4zHyMobE+R7vOkCTG9wPfUhr5xlsTSbZmiFusKU6+
LPDJmvla6yY133R04eRa5UKcq26Co2KCcF8z5wTalEGPh1qM63xT5KzSgZYYpDCEYzcRkP5zljEi
YMpSLhJyd1k5NvFIEwrImpeXdHvfgwS9VRTCHCE0VpzRSrrPRM6J+MpA/bNHoIah4bLmDYlYxdNb
fmcC1pb139kWBP+od5+paWEYIXXnLfpBVC26Tso9SFkN+1vdgDqiYbCsR3dqHA/WovsMq58v8uuW
FjciytalPbCUTN+pu0PsNCjZK4ab9aakmXZnWNxdaZowTOgGLi+Yuu3ljst6x3ge8nYkM6Ey63B7
2VmLIhQW7GqnehagrvLnIQim5MUcFPtEaiy7lOiHaGeErfnmIr7cxF2V3Yuwkx7A8necVe6hLsvl
YVDBDiQiMGAHdmEI34CqYSPDe80d7NCDgqwQEicRouYPpz3bj8qGtQg6SohVQDSf8Kxidq+yvGkB
a9v+GHBJIje9n+MUu19EuwxvrxY88yitqc9pVhyJRueuSbqRvZZ7kmQhtphihQPHjD00TdZ7kWfP
RSDqo+uPnT6sJvQ41CGqPkvDIaNheRCRYZueoykoiTrtnDuR27rPvdsrkgnoJ1RCtDemroorgnYC
r0ex9RTZlQmFPfc/Va3caLKoTg1OVq9ubU+3CXgYVl0mMm3Yt+10aMKuJAnXZThzh/+r8LAdvuAp
25bMB7ca3cu70uhXcWY/+NKgFTRZKTi+lY3Nzz+gOc3YVVHngl6jOaJ0hMCljuEIy+FMaHFDu2Vl
VUbs4XfM9gKzALTFBXqoGYnaJhcSog0TEfPNQPRjCCdRsweIE7RBSeqaLNAWe5dlWXsBgU0jlz90
r7Csz7fO2NrHJnZ5zEVjtbhMIDRmsBrxJcFrR591Gy0gR3tBOqbCoCgJHZSvTgzxUS9HbPOJ3V2R
i6hf2yrAw9lo5viWGkX8NNnZkxET7nhKq8a4rxJimLW2GRzPmGt36/Sq/9JMIChDh0ZSM0ACnxdA
ZUUq7dqhU0TibOzu9b7qkQuCtMychW5pGNDwOtXE104NF+Oa62W9x62Tb+du8HmOR/omiIYn1wXu
nkT4bW1/+NTjGjcXsCaIt+khNIFvCDIptyqx6ae3Zn3fEP5D+ZPjZ19AncixzxrmPMSLTXPtROF8
T+qL6RV2l20Loh53vtszpHcjYxNUzblyOyQN9YUP2mRVAa/BZ4vCdO6ZA2TMgLrhCB1CHCUetb3p
Fs0hAWp5KhTsey5aTj8QMCnBs2CGqsrZaGSlEttmaYhosuTOwCVlU3VqcyJueQhg7zFIPQsczTqk
CwwVNqCncpXvJSfCnbM8IdREavcYuN2e3CF4O4CEXhuUOmsGYi66WvO+i4jmJthFf0hobJ+KKW2f
EHdrp+nCbNUu/NaB2vW39kJ19aVkAjzmFRjutvgYL7xsgjEwMrO+ZXIGieHAsVLajY4L0uPJa4NY
MbadTaRmXCQZ8lXbfsOM/3HUlh6lgB5Ca6xutprNssG6OKAmnYHV6gu21lwAtmz+wXpGS0KufQje
NjffyxDgrSRYxxMlEFx2K3GY0B+/+bWOpdovmvEjFfGG6rqmElxgutOC1W0XwK5fsaOw89fZBkED
LcVI2nt9gfKSJj2tG8l81RwIEAbWBG1qVaoudjs2Eqfm2rWm/kCEbwq600xrrKA28YbxQwSrhCjL
OFsU8XPTA91Z+DvhQuKZFyYP+CNCTYPQ55RfLNSe1oLfg7wzsvYOWSvPGjNIh8eeLy36vnB/6rLl
BAIJiKZFgd2e+yJC/f1cWk56mBd2EEG5yRbz60xzFMKVG9vIFRfa0BBAWFqLrxQi7MMLkyi5AIrc
hVUEaOWG/m3zsqSfX6HZvbYSoDs8vPzHrIN25A6wP1Zk+/pwOqoFiNRc4EhZQtP9qFUXahK7lrul
1bTQlOILWing4Obf+hfkUrnQlxBlAGLyL1Am/w9C03DhNZkXeJP9leQkL1in4CvjKcBEoV7RUfPU
lV1MdooTOSrY0qQ2Myy2NX+PJGEmr8vMWofVI916Y3bUoOjLqbbyoaEQsXqDZ1NUlel01MU8PkwS
gg61KKSNhT1KQ4n67LsT/1/ptn6mQdMLMxcTDchxWup0sX4c+Nm9XqK+qsI9HCMemIyRiyVxYxhq
e1zZkWryR/wTjnGYCp6i65E+VnLsDdk/dEZP8FbYD+4zwleKd4RfPKZFS1WtRdR0gTFTTURBQwng
L5yjejl65q6e1muNrECelHY9kgRJn+L9a42MEGJ86OblUJJP2BNCPwKaykRsvFseK29RDgg9n4GJ
JCv4HxRkv74c8j/mnwvampAJwTHGsFzagz+o2EKhVSBsbW2nQviyWFLmPDw6EI4qLx/59KxD9zRJ
B55ZLmfOcmMW8rEmosseR9fiagUKu7JnzsCL4tTg/3Kx+HPEdBJsLqdVJbFlrIY65tCILS4AFoMX
FrqaXfbBJuirej9PGe9uyoSzJNYjVBAO9cn7r3/Z/4TOiwVSbtqK2bFOsAV91+8le70bRJpCMEMS
e89c053GrgFAkiBOqk0XozWtPRwNY1O9kTk9PVQtHQbI3Zzbi7F+yPLqby6/+KvVqCuDvDnDVoKH
54+fSDMxsnY87RlaMrNdWahOH1oaSc8NjRkugrYcWgcpm3cDwvqh7DkV5ENBwpEgYALiSlMuJyeO
I7++VMvX/r2W0hUMgSGn02eSNt2mn5YFejgwwm0U7/2C2NJ1VjATfpkNcDcfjWmeK0K5XYr2IkcZ
Y62GhBr11x/gL74rg541KZCoKxWfYulEf9fjGkJLFLNsg705ug4ZtHkTROvOFb68EbSDA85kfrmL
VBQGV23pzzlN38a/CfJWnB29Ezfo5Th8/fpT/cVlQbAAcITTLbLPnxdQrjqfcZgR7HONExIJQcD3
xqjg6LYoa3BTSw4IXQbVaq31Qfn663e/7E0/fSu8vbX8j5MqAJQfr0k+2QnRPjPXZErpGGCdnZDY
NJWTxXwh4QRlGEylo84JfOCDWE6puQGum5S0qpS3gK4YCoFobYNw3y6NprKil/+FbA2O+vlCtbx8
4H9HQX83CqIxy53+/x8F3RGpsHjT3vLo7Ydh0Ncf/NaHNhC00+ElcYTRztf4hG99aP0Djmkh0MJI
5jAX1s43hbz8wF9ZNDsQ8CBhN1GCf+tDux/Y/uhsC/rU9JT+WbLCV0X19+vRsRdVjy10aaDrRiv/
43pMM9XMGcjKPeOdZFp3oogQ8qaL1c/H4LJ0QYTyMLzU2XZoLYxVlNb1wXAKoW/nikGRF6Y66Mqq
aVNzHRIaoq2YeXfEfH8uwbPdDsvoN5sAiBkRp0x4cahvV5nWkAMIdBI3TypLWj6N0Db2DN6QxojP
EYWibN5pOMOf6d/Ux2kZRPMI1De2Ns9PvtQ4Vxp0nDf1ZXpNe7WCF7HMtPXLfFtcRt2XqTcEVybg
xWUari+D8awb/XUX5vvInqPfUdAEn4dlkP4/7J3ZdtzG2UVf5X8BeGEebnse2C1OokjdYNG0hHkq
FIACnv7fRceJTdvyyn1yE8eh1Gw0uvAN5+yj+DPP3tzkw4boRvcmfd+5I9dh/84jqYf3rNfyjV7Q
c6SV51Ev7bMmlZdxYpFv6ZV+bMZs9xu96A/1yj8PyKpYe1oIoLQkwNDiAGLtI7WK2pi9sBYPhILL
jCaTap1dtKnDA8lk0oIDW0sP7Igr72o5AilW1a3UEgWpxQpEYza3uRYwpO9ahlHLGliJtOtcSx2K
KSW4j2epXGuQDJSWxNzOgY8+glROUN81rTILSXkzoKPovUQ+WKgVEf6IGJ2FzXCypfVAflGLwXlS
ZWHvEFWGe0Y9OToNkssunNLItR2zWFcN+2jPG/v7wG9C0Ol+7J0cfF/fewMDsFtZ98F4W0Vlvekn
QB2Y8W7dAZEi6eu2ox8Kw4vFlPczQyf1aexzbx1V6M37UK6JXsDalZIQ5NSqPPFIi2+iNq/vPFO6
FxSPX7LJ9TfUrMUGBcFM5lgSP8yD1219w6sOk0kCUmPJdVHk+X08dOanweiDTcwY9pj4JNLnTrit
XDCv6WA2mxgAPoGoYxMfckKQdoNfFd+pMd+sODJ2jcuEGt1Sad1zk8MGIDXkCCe+AqIf4Q3DKYE5
z3Y3AHbvGu62tRVEZ1TM6aoKO5+U1P55YUED3TEwdqntWytvDvkt+9RbJwMSd2uwMiwIqfHMQyw5
tuRa3Xtl215mKuMTkF0aTCMFfmXBwitdwa5g7LhvuG2nlfJne9/OSOKHOs02uenGOsBp8LaIBSjS
J+mtgKYQlbf3Qdwm1ucwLlW2w24xESjlWYvrD5t8SpM0vJ98hdNzPRsk1z/YNiDZB6+nLndXpDqk
1pOFDzbfml6enX1hBndMo+L0i3KXSq4GKy+JpYoaKiPwvDOvP2ZXzCn2l8hpEUWUuQUDSMQOmyMX
0LL3jIC6zo+TXjuvymbJeTcMM916L2gzx4cxy9wJcV02eHjYEiN3roVjjvlLUUix1BuQP3WwrFKv
t9dzSxw5BCNbcbINWZK8VFaWUOSmFqlf5PBV3J5Tg8xFIWBhNGFlircPpZdk2hKkVrjtKkcWyWGW
ofsyNPUk34IiIq32hWsUDeOqHGRzymTtMPKp40I6/JcPqQO4FsECyLIHGT/WUKLntdk5Nt5kCXGT
L5alfrXn/O9J/U9P6gCRxY+e1Pdp88u3/zv25WtNt/Gf/CM4S/oP/vaktn6ybNQVPAQidrLvhrV/
PakD6ydgTWRA8h39Iy7Phg5hIcjQjShCD5st77+e0y5/HWNGvSjWstj/YldM//+hkg/5j2O6xFnj
vmJX/KHD6EhWF1UEFMsIsOTmc9o8RAUrEUaEEdMV23ueqnG8APJhQDS0z2XiGUdzIgy0GQh/qwhW
2LSAUxGyVvVtOZhPAEITtjtll3OSTeFm0TnSgjHR2iXgbkeXN7H3C64tEqSVrazbXE3iNXKqiz+V
F050thVtvJG0XAzJK28FKylE2pd9H8whu1Zcx3UXtDXHT9OtTCNcGFLYcO/M5dxE5q1vQSyPxPSK
5F6tkJpuZ5c0ZSGz7z05yJvKSeYtg7hr4EBDpslkbVd/jwrCK60RUKYHkiUbdqw3LjjEb918PpsJ
P0ULxog8e6WKgLxJIKMnEWeN1hvy8udu7ndNSY0vqtT5giLykImQzsek2W96UEe1EV4t6TwXY/ka
MPrYmcl0b4rioq+A5Cm4Qc/+nTUgyylgATunBMDKCJ5RaRKk7CPGx8SZ7sNaMU3BaXgEs/lGBRDt
NcmWtcC5wGZxXPSG2Zh6Loxprl0vO9l6GaAK9ein8/3Uus+pU5wSVb6KLke05pE54jCs8N1+6/KG
Jjf73sj51i35rGZH7jA3g+9ztbB0wBwlUzIZbIYQdsOFslMIurEHJogyIN1mRSTXA9B7Wi7O48TQ
1zKtXgfCm9DjMA6VnIhr/Vqtyw8Qa3k79eattKf9oOMqQlZ6xmie2wC02lik3x1EOVvPyi5Foc5U
jd4hbCJ/lWe8Q0B1T0sssXJIv8QN5hiboueFxizMKRbd5UaQhdvMy5NwIcKyHnqsQGWruQb8D9qI
IWP2WjOv2Za2egub5TzaScYBLrJr0QXPmTJ/DjvnU4RLCpWQtZsBLS4eC6VOjY8LYbbs7SU3qnNI
Kj4jRLblupAYTAaC29lJpttp4vOMiCM4ITWIthCJ5aqzKyKRe/OpTqy3yJmY1yuQbxIghBWMj50Y
Hl1Vfq9MInMhBUAGqdSjE5P6WGRE3JY2lfPiG+nasjJUu/q6W7V/jSL3uenqfMd0CyGyG+yk/nO8
TzbZUOEmx39mmD4f2Oiz5LNQK9tG+zWPqa+x1M0bYcTjncPuflOqJF7PnQtTG57ZoQvmkchabzz2
lR8e1WhgPUnnctstbQWkq513Jvy7U5WSQmQbpfMmrf7rPAr/xgoZnnDXNFnnbgT43nwToRsmE2GZ
XuMAaPsqae3SJ4+nq5+KOn6qlEF1sKAEzlbIBdYqja8w0b4yIAforcqtSnncLU62aeUstp2rUmsj
fJ+M7IwF6ylsJMLxoLuSrnBbN1jOcZg/NQZWOFYn3nYcvFdVz+Ktrm1AaEaebglmX4UBevN2ifxd
lVXDxp6b+NaSkFiSmtt/ye23BicsvXSFXpIwNV/Z1s4JGj43UHOrAZDZqovpQxR7q0+uGQx7ZXPT
zUXwHBg+pLRuOsaj+G5M4uz6xel3D52/GFv+2duKEQKjMCMZPyBn7sPUklRGd8inojm4IykIzHMl
O1h1zbzussSW/w9jjo/6ohClUsQDzUHghyfio5OWInCo/RnJXqLzLXBwkeDssHtxONB//L4+DlR4
JU0fCngxk/zX96fX76c8QaCcHGXvwZbFa6Rtgfo4Jg9oXjv9qm+O/JO5+/Fr/skJrV8Tt4fvaNsH
//3HrjVx6igNe1LqZumlW68fHxvFF5vYs8NkELSq3y+qlbPoOd1+/NLOx3nf+/uNgAzpOaTFhO2P
r80cdFryOawPfSWcTY4xgyQmLAAcF+e8yYuDGam3qVfjrpgAIOXk6tILYx4hJ/YtxYOe1Mt5SJgC
Lo53iFBRrcHRb+1wOk9Ii1cMjto1bDmSAPILGR4sxcd7VSVPppcyWVXudSAcgujnJtpDx21fEkBT
azfkePjxO/2LWwg0omkzYLdMz7Y/jKrsMouqxnbrQ2r3O7cxb81oQT4iun+4ohqi9YdJpb6iLhQr
pJ5o7FDg/fGKRpMVKv5P7tUIiRqt1O1ssfEzGU5QTEf5htn5RSZWdVeO820gzeou1QIwd0m+dyPn
si5VUH8T4GWrc2LAoYmm4dGI/Ksjxj2kWhBTbVZh5wFS0SlbPSceiRlVYrfM/mYIGqbo7+tCPSnB
Y584YPcks7DaTsSnnNmHfyf9yF/VRcmnqMJmr4z8e9wsT2Ey7BZJp6Fa58Dw7sB6PlsnFZkLSNnO
BcHZhJUttySuOQjT+LsxPn4VHkr1wKLG+vEH9hcnDDNobdA3cWShYfzjdVwCo+lctDOHZUKiQDmh
ONm81sZMNDmHH78WhfKfPjPP5DkVhlAWvI+zXWHPGavEuWbpOd5jJz5V+Fr+4SX+4mRB2GG7JBJh
MwJv9sf3gxuaGHnTRHYcjS1+IYWJJF5Iz7XfAN7Peykw9tjuITLs6xRH6Rbp/slQ8Zc+z38OEQCv
7GoURKnkzmHMeYinEadTO1cXBj7fF38CcBJnxYFs62WVew6CA7RxN2Xmb8ew/RwyYFn5fZgc3TnD
DIoeZmVZDm71iDAiW9jpCr6jvR8UMyvTzr57NbdglxWXURUgBJJZW2woUC1aWA+0QE0vvh5Ned/U
NhHazvKrbP9vA5Tcv/jG8lmwAQLtYboIYP94wWq7xe87V/XBIldzNaZVts7kQAXPKvhipVyBjHIL
XH54rTxa+rgXkKWs6pPMuZfjAu0A4K7dFC/TSjK8Z0RmPk9562zQobL6Gv1rjBZnPcTeNWUyuPEE
J1HL/m0T5POTaU9vS2+usiB7YOlGVdXxhoWhoEWbTzOF2KqN03ZP0vUeN/J94vnDKhfcn0iAtIZk
BDBgwCSq4jLa297yFLVi/FVa/bcX6S++JDwz9H+Yn9K9fbhGxM8FpZxGAk7Z3VLisDGc+HVcJnxx
m/zDJwIZ48/fE40x4VhD36p1xX/8SDrXmRkDDfVB4KvaWn7fbMI4P8U8qSIiMuGJcUsuMw3SaHNM
5TkVYFKyKaYAHJrYXzU1TIisGrttxLwP6kcv2TOGP/cF0AASWsoI8msaUe2runE2Ttu/Vflyr0qG
roF+GHObJU7xGk+6SsWHlS/mpRvwxKvGXlOubnHOhDvJR/reXgIQdog44gcjmJq+IfkT7TTu2niQ
q3KR6VGhVXxvguKaeJMJn+OpRimVSRrJkMkvHmxaPW+ZHoWEtkXQEVrM8dEurFtkbycgWx2KhGHD
YpSYXv7BqPg38ahvyHYYdxZBFVv9NeqVd22C6dFPdAPhFQbfpxZMXEe1hHnqojos3UHLTwvmRl3u
8RWTcXcTeepNSLmZ2MWz0MwumUPPQpAWj4zSfc7TEVWk6+M684CyVyd4BCfimzrMTHyBpSxPNMV7
oqFqYudHbky+Hf4kL6XlfU37qT4VlncdYbY5tpjXujEisgrYLD76c0hljw3qmWinf3oe+3/x9abW
wXAL9pE76iMyv5xhp6Ftqg59ML/V/Xjfmzz3Rtqs2ONrreuv91a70cY5GVHpvX/n61TuiJmdVl3O
H2OgBRa2BtldRJtwFE6wKWWCSM8Oa1KohvlQWmROjFlBAEjiZlsM7Mkb+ujogp4l3SwJz0UJ7Pmm
Zs+wXgI2BQZnTC7np9Gh3DKF0659MxvWKpE6LpfKOqEx5HmYEiQD8JUyO8iHR4n8diVs5BchLSlW
wcs4DPeuh8S0KX21zQTgk25azlU6oZ/GR1VZBhvmZn7zeyJHBMqNgO7gUGT+deQhQpM5PDo+e3eq
eRn89nz934TtHyZsfBdsjtG/34V9lq/p7ydr//oD/zZEadcTBCZABayu3q3g/5qsMTv7ySRtIvIs
WKqh6aJt+M8OzMS8blEU/nuo9m6SMk1HE0W9IPwvB2vv9cPvdl9mSAiZw9mMXtmFCOx86CIa8k7S
Zg7nS4QKGyxdOLXzvKt81CFV5TrHQiktn01QNfaeS5DbPBOAk3GDzV0tDqKbGm7rhtMQDc/23cuQ
zrN3S/ZCj0qvYaIeh7R6kzmMOKErH5rQvRHMKLvWQzQyc/ycAq2o2sNQQfgG7DPCGjbL2PgUVe5Y
nRqRk46zZgTZhN9hTCPZOEx0Jmo8JgH7gfgYB5SiDC5CLO7tyEV+MOomsBnd4NPYJvkkmNjAk3I+
hYjQ1yYvi1S0NX3spHaiv+DLzBewcvEmYK66xlWV7rvAXvC0Msd+rCuslotsnANviqkDg8KfJ+qK
R2xTAjF9leZ3qvGuUonuuBA8s0ubeHiNLBOkUY8SeZUVgNt9UsfXUTMikuQcXgK7PuWwsr0AOX8x
KZshDBLEM16tqrbWDN7VNU2K0TiqqdEi5MJI5gdjtobF3GBqyIkvc1vPDvY2ANRhP8ZmIzugMUls
6RjUYuwKBc+ZpIlLq/qG8PVVRYdTjcf32/x/J8I/nQge+uwfnQhPmUgI3/zDZtz59Q/9Nm8nVlSb
JBmaw+FiRU4h9ttm3PnJDwIXzwUPu1DzJf59KjgRvi6PrpRTwPdtDJX/ORwwbyHCoRKFv22/m7f+
i6k78JSPlRsv7+DE9B1+CwByH7oPIJIAfFiNHcJwrhEjj024FlqgvNRzd5PRPJDB+3WuQ1TMgxY0
m0NLBpMWOSNoGa5Ogwk50hJoL4iteCvofm8B+rdkGSCWbmqkzyt2C8culo8x2tlQ52e/mk7LN2Yj
uMCfEbHWT7bkwGmrCXfEaBviFy+uMXmkSXSD/8l7BbeuJV127706rc8PoXvBE+M3xrdCBeozpKNK
fYsCaHz5KSMH5po2wVZQNIaJys9mXrTwEEYSPamJmGqvEmNgxCA5dPByN8aj4XoU7iRxjds2xKsS
AHBZ9ZWeFga2o66WUES9kQfztSTIxj73cgy5LI1tH2hxk5u8tYY1yTn6aLOdhkyNafJ2VgfuKO6L
n91qqc/JhOTdCxeXjsItnkVOrexZsbsxMNHiE3KmJ9vOZx0ST7a52+sSoa1aSPeLGezfU/o4FI0X
2ZcojJggfE5NoJdkW5RQiZexC57aniRJwA4Kpc8iCCVlrRgjcowjPUqA6SPtTx2psojJPawsgtzn
14FjlBawnNoXN3FJu9LOBSBB+ioD6UhW+FCsx6hAbISnDuEjDD4t2G89bUrBVkpEq3bj9CQxDutA
9nh/HBzf1Tb0RpSLYUpGx9oQHeaKiSCBs4W1XZ+8/GPJ5hQtARhdf0W5zs/NacWf8RzmlTetdmHA
1yDg1JMVtjU3RMfoDT7xkqOrl61pgvTx3WQXwgAnNldiA7MGg2W1CLVqNNLOGrKktHVsGClfwVwR
NCkjnCbaq9CSOdvvXUkIHEOPfjlH9czrzxVuN5B3PBlzd+ENBfqiAGFBo0QaE/4TI5z5BSarQ1mF
9IGrW40xLjfoQQy/4rGoNmR/OPkmRGAI3TOAD3GNR+156SWLqaNsR5SESZPLX1CukpJOViIBlGTX
4fhq8BjvyzxH3dgYsJZGFHfaDeKGNX+98vWbDxca2hWSTK6gmBT/ZumQ3r27cpRK+ViWXrYvSCyM
tWvgIAD5Ypu3YTb6N++v6AcDMtDRwOiERJl7E5Qr1zefsENNokAP67iwdTfuZI/LXgjLfTVnbThx
gaedfVO0Lx04gHHVeUockiz33Lt3z1DhdGlzRPJG0xLDM3HgzbKhWCVOyduaKyLV0O35X1yZz8bT
+28Z8tBNDuXsZvUaKiO/rNf63GUG2qFrJMqaGrvoMen0DDSwQtIqLg8EbDYF2y79kTK31dckJ4jo
KueoOaP5JB8STkx/jWYtVv3V4GY0COLIy+GGYAFAmuNUckIF5GUc3Mq05p2W+X5fFm16y31D31OW
XTYrto1htW+GkXIosCo1EARbKNSjhZw2MrKXAzmTLNK083KEQfLCTH5wEGMMRK2WRPEAgHKj9kaG
w7ppPbJhPNvoSCaxWccMFeGr61kw4fPNID7nJHE88WH66UbLmu7ZikhMX6JvX/C29vGOBFf1MHIX
7/MprHYL69m1OSZahS/7t5wQJRgoPHSeyqhUD6FvEP5gC25sW0yCN8MFuMHAb/DuqgIkz9J4iLbl
JEpn40U1uUhcMso5hSH+MOHYf+vaHKOhVTehs6XCQzRs9wQKJ1DBjwQ8cX1nNiRPAljSjQ/HFhKI
XU2fJssjuGdM7ATHBrMnVhFwJCvhtkcHAjY9UJim2NznhGTItr4Hbe/r3NAyh9pfpDYhTEuwY1cx
f3ODyjnFbE8P+Rhav5Re8D6aVMHO5Ai8wcSTfXM6NT2yXZkBbhAFMudlvG4y4zMrU/FEsdgDkysk
SakRFr3ZwmdhK6O8sVQ98e9UvTNDspBroBvf8PmQSIwZvz+jcwm02DmYXazDsfNCvFh/lhPBxKy9
Aus4LOxPqb28jYc+GxEoCGJ/ncVLcOMl3VX4ovpGx5uShhmKsSSgssNkKVV4LSfjHvsPHHvaAYco
63DsrZsSRWh3t7gOwdlmtJcjMWkLLpdN3xXthaUHiBhjiG/rEVwwDDJCJo12uLdqcnWSiQ2TjPol
2Y9D5ty0RW3an+PWaZ6mtBQP5eTept7YIWLXkt2kB6xEi/JQB9ipSiJSw08dszdEY2W7xcliPif2
pM5uHD4u8Ai/EAhn7xvlkWjrTXWjwXlt2R5GoaItSeYH1UIHHVr7tu9Bg/pVm8J9A7aMlXEp13Pc
SfOuT4kZU6RRbEsdCAAGRMB2HiXuFjgqtblBWzN9jVtVlWvLHTwiJ6thqA5zV8KTMyy3xHrdNetQ
mfLRrovwJbMjs+dR6CB4yt0BL5/RHkff4a7Go/pV8Xg/Q+8frtI2v04i7C5tT1OAJ0e1PjSUWN6A
xck3oxvZDzPzufOscuuusHz5fXSV+DpHSdO9KmmW413mixgxL5DvY1IWNQY88WzPS3yXpla8ITEJ
R2VoqZtRIncr0dON2C5OQ+8Yn2Bq+lvcfsmMP6X6xpBO3XQ6JDf2ZvsOJ8z4EmZ+vEkqoJNRG3mf
1DDBNy/qlEkFIfXtFa58ccFQadcbNFzGnVs03iZwh2nL5QpWo+urU9tX9ddskIRxNu3neGjNU2GK
J8kjcYuPxNv0ufli2ckxn/L+xpg993maEofM9mIWayvurW1spOm5T9zkkxM2w2UIxCEcGK4Wgc2M
2STSAttZq9ybKZUu7zAENppCmdiwRx0kDz8Dhze3CjSym2oK2ZyV1pc4d4NVUvokl9qNu0ZpVLDs
KcuNRV/HWUjqaKp8gnmdKF50mDP7CJ9H+C5iUoTdzG6duzBxfeyVQj40woW1IUg05f2kiN4WhfdH
jhewaN6qHZLPvtlZ5xoCPQYWhWWmnr1dJKvqAWQ9k/Oc8mNn11bGtrTM0QKYyoByRUb8au7T9JZ9
OLY4x5wfTfBp57l3zC/IszigCCq9cAKNGN1ICtrIKrpzpEkYQT2k/E/bbc9OtXT4wyrS+whsnbYI
q8D2pFNjnQY3H8Dm++ZGxP4R7hd+qSKZP+NOZxjqVcNTOqTPTIPitedZIQUFjNHPI+m+q6BXkidu
75z8tlIHZSbYhdkT7vAm8zlIkU94Vkl2XNZhMLBYm4vU45tQSbRxChoukhKejiXD1FUXVOW+ndzw
qY1442OrxAN5xcEOqn+cb3kcTocQKsIGHHABdxNipBIW3g9g60B+U2Stc9KfkT+4DjSGeTgr4TY7
bACKAG3OU8LNVRquA86bX/Ju8L8TrzohzvC95ZBGBBq0cPsPkYjibalLK4AlkBRHkukW16rgZmoQ
b2Z07TavR1heQzhcptayNzHuMk3AGjcF4vczbozxuoBycD7zfGONVrMGHteIT6vbXILL6wsSNpEv
JP59GWGVXXsGEW7MhCkL6sn9uWDvm+wiv675ApnUgoVvFSAa1AOoO3UD07HfkhQbKaJqw/iupwzQ
gQEtJ+/sJODgiL1k0wkjM3ajlwSB8f0Ss1NYVUm664phviHjyrt2ddph5+g6g5QVbzg5TSnPCnX8
PqwzdWt5sn9Mp+rUTd25DRe16SK7A5DZ9G8+p+V+lJ04WaMX70USPlGoTbugF+QeCvcuZ+4Am3Qs
CsS4bFLLEywatCJZtCzzCuMd+P6mrJscNYO/3A+O2f6siqoE8BrZpJO02KpXTj1wQRyCj4tBGNXb
PKr+1ojm5ZORMv3dEo7hDT+Hsn1sh7kuAlJnBje29widHeNIkOe+S53gvrHKLy2W4vRcl10Q3zi1
+SqnqL0oj0IOVUw3HLFixFrQMEMfLvI0uCecDZluhrcVzRTC3Tq+bVpsrxqOJVgxeu30ZdGmWNcR
YRLcstfsbnn6HeWvBtrfdfJ/IWT4uPqLoC36Lk07DCGW4B8X4AXFUuz3ZoOFQbdOOD4pEwcL2sSv
05W/XdV83P+9vxAad54IGEnsj/x2Mudcoyt5oTLFn06fWjF5rjtqNT4G7WbX5JQEWw95ihy4Lz9+
m39+9dB0wgjFH8o/oC8fpoMt46YA6naDr6e1H/2J7UaG0YpSohSHRqHiXvkyoB40pooK/scvbn3c
G0Um01DY5JGNKQiLgP7tfq+qyD0jbmLRHHqr5W8HhTC4l6DoYGPkPR2Ua2nwwejO6LgS7c0yRT3Q
A9RJUB4SV1mPP/6FPq7N0B16pP6CTSGzynU//j4JC/XZTmhmAiHc4+QwfvAygAXLDJ8lEtY/mYe8
j8sOKFXgdlgsO6wyqQ8/7OmIJpyZdPbNoa5EdCNT+rWep/FrYUisOSgb3/AduO4VIcWAdlHgiZzX
eAjS6kKmLZ79dz+f39Wu+FQJzasxfEAJwraipzEFZEA0KHeSu9QxtXrl97+YWKsjpjggoh5sX0Ns
OoVNPhsGeos2916RV03yoUfz2bP1tzAtr2uf2fJXiFQtWdmhoktPYg86hpNoUz2PiccqcOAllHP/
C+dE/T1cxvrBiRLaONn1/Dw2ofbFhAqhYEkiBtcPTJOu2jLiuwVBfA9QkW5xHyYwa2Z+UHxyIV34
ewF3QG17K4SUoiE/7zSG9w/9f+PNfxpvctH5wv39wuPLt17+31/OOH/9k7/NOIOfAiBSuL1ITGDx
oQeZv804SbrwwFxj28Qf96t0+LfNh/mT75iWGWAZYp6JufM/M87gJ/ROPs5Hn+8HO4vov1EW++HH
LxmEMzYs+ATx/rAM+ahJS2aXHj9PUlSDEAbIB/ZQ3Nhtf3bglGxKV0+zisGx7vliMflJILZlKiOZ
iPKnSIVBcY4gYCfgtz5EIT8TwcR+IvS23OP81ShzXVHREnXaP0GdpXTJhdY2ELshH2JdbRB5RlqF
VwKALTx/M0YkZ3u6gOti98TkfmCINieChUWYfCb/KYpXo6ejY/0cB/X0RIwplaEb9/PnRY7LmrfE
qGI0COHUtWSiq0r5XmAqXWtKgsNGndiGnQKAC+My0JUbfAtUqI1xl8Vt3m9SlU8HQR91Waa5Xild
3S66zs11xQvZ3Nkxkkhv7ahHmBgt+p0ziOm3duXjH9e1MxpAquEU7ORDknrejlEpnpye/xvQiXUm
gutzQ3uySkKq8tCdYTVQuBmk9GwSehEsJZkrHwpmC7dxYzl38XuZ37yX/IArecdlaCybaIgjlJEj
Rn3dJ/j0gRt+52Lj9LQ4bkMcgW0EAX2382UoivZg0XQEuvuwhvRTwnEkUVKabrkJwLijRp5cQo6T
xb2RlPPsvmtfIklb5Cqu5CGaavnZ7WeKQ7LArK0x2mKN3I/2SPRQkKPJG26W0D5ImihCrr3NoPuq
IpZPcT2bp2gSn+didtfRbNZfMY/NJyulVASamm5QRW0TBJ04L5LkvnfBLFC/NeUFzAJa0fc2LwLu
G6xAhvqfkqH3bwsHArxB4MpLLGL7bkYzt/USX93MS/tNvjeTsEn9bdxlye1CR3dSETVT7oNx0H1o
qTvS0qKtHGoOXMuRzwRE1wxVg+KYvjez03tjq96bXJEkPUms3UCC92jd0cJ7Z/bZzkNB9N+GpIGB
arbv/LWEvSzBnVXiwmTx6wS/6mog5t3ak/nNrauviE6anuyAugOBTlde6v6c9ZjVbyoxhy8sFIbH
xRiAL49xufWh/SOseG/1zfe2P/abugQrPU1fGfU25saah6zd9kZHklShZwcLn/LWC4B6ZIgFTMCK
TBkKPW9oO1YfawW9+m5kHAFM+WXpoxd4xyvBM5BVhclSMvIz4P9uQGG+R8RIv6qHHFBzHrHtfjPt
IQacrEchQg9FvBJj86e0JIEcTJ2WaPs2gj7ODv4GtgZOn177LjvjjZ2OyqoroPm+m6r1kPSTfenf
xzJhjD54PYj2pXof2wg9wREmqeN6pjPq6Y7Qc575feKjZz8DQyB6rBTakh4M2RCmyJCNrSqiJ5rz
My1qXmyznqn7SuHJufSeE28Dp0mPKSGG266VMI4Dw6DP9sMvpKXM3kouZ6COxiGRfbovSGcgj8M2
dl4M7yUy52lX66BHBPrFs2Iev6nybjqHWbBza3JBNFONXqF3ixW8D+8OZ2KBs7lgUs3qdB2OBcx/
0MxkZjvLhoDvdj+ioFuPVpVcptGbuAL5sjxS+npHj/n7hVmOAVeIoUaJVLFINlXZ4xrOkibcKsOp
dnl79mf1jPje3zSit49qiZetx0+dS89sLlbpdNnKcw0lkJV2trnxBs8JjoUPK9oPRHfnRMJ5RL9E
woTfkpDiIR3BP7XM+5hClK1tWRQviyZ0uCogY8W1coyMIzufMGc+NaTYOIJI7GyWJyu1jNdySebv
GAbAxY1BAAg7wRRJwBei67h/IzqZJG8QOcUq9YmOaWyT5PFqLtcNVe9NVg5ftdIMy2k5Huqlm/iW
wmNYIKRPk6/9qPIN7ppTQkQL+hsyRqLdmFgPCUbcg2NUwDtN7Qepw3xPHht0d+Kfe2huKwy5IcZK
LA5WbYwHW9Tm0ZwDax2DYDz6k6u27BfNsy9hpPDEDnd9a9o3Q2BFME6DjOFceR/7CwrOPgn2UxuR
vhFr50s2DxqtQmRq1XL2ThZx85Fjd8cOpRcCw4TwclM5t4JII6NRNvwTvqKXtE2ya2ay/isgFq1x
YEQbz86sE8C1eDcN3VlVVbc1F9X/wmhRIS9tQYGUJRNzx2GBTpzwUSzRzyHjm2PiiV+6CO/oUEw/
o2IYtqY1W1vcb4RxiPQYij45sOp3ENmF19GK72VP0pBT2choh9G7w1xS7YTRX5M5vx/M3rib0vxW
cV1PWDtsvo3lNQmqZaf8IuLRmEESAQPS+ztvoeF2YaERGzgOGE7Z2HyGwUCLPXBd7zsceP5pQSgE
PwMSULNlgWWJFTt8THfSdGYceCDksOP5dbiY2zSO2uWhIgvReJ7eTXwZM/QFdRqKW/NXn58qrLJ0
twHl+HxovezBC4Sf4wJcKGX6onSvY8FWbc3iEAUuaS7NyrSYOc8NWTYrc1i6TzZc93TTQlv74rSD
+lI1pjoFMrfOQ1f3e9LtJ0kMdoCrh7SA8US60MTRX9ZcAzoJYmrMZWtVnJhhYfivc461BZdYfmJA
DesZmUJ1Hy4DElmz6tlaeFsUtdNutsPkl84ejH0vsRP3c9jtprDDsiBIDwd9zfFadA4XCGWz2gGx
Tp7cOW6RWmKsJG8alVZUoSPMxOKOGxPXy2pipwLw23cQcBJP6pxFO1TpVtoCScrKnoeI4PB8NHf/
z965NaeNLHH8q2ztO5Tul4fdqhMMxHbsbBLvsZMXSgatJCQkoQtCfPrzGwEOwrck4sF1avXIpTVq
zfT0/Lv73zrMM6Sa1741H+RmSYAsJHJX5zBrQqSTr8rzBrSK/LB33lsuDRy/iUSWF9k09kdZ7xnF
ICk2y2AESTzVUxY9sc58taT+1ltKX3MIsuBdmUvzT5afLT/DfVVByGjUwSDh9DTOg8l6BLOK8X4j
+2swu3C9grS0zkwOPlld3Eakb55NqEb9sJhboryMCs47Ckq0kZHrY5U28ct3AfxFtcCoVP4fTCgh
VleE2npwC/YCOkuq697iWqsNwll4QEsIaSj7O6eGWrqlkdJ8QBYMzWk9ipnDUVprMQGnsJBoblgU
dxjvzVBFSVSryfeaCXVLberS4h1vFGgmCgEGCKCGVA8VkOe8y0pdGRTkC6cD2hBTcLPMAX2N0C+H
FChcpXqVwi6+KD5UcDSdQ++V1oMYGtpPeZSV4TDX42isAecObV4a3C058F0Ua/VsPbH8bzY+999K
bZiXE82PiZ7A9gJXGq7Z2cSTPfuKkimo8mrzrqCc/7aeAAcYnq6Noh5NMJW1Lp1ngPDZgLxo46sK
T1o1ABHkaKua2IFIsa8i2t24Cv2U4JoMZAd7GlwEVU8eUmJk3K1WFG3RwWZhTkaQzfjWWSFtIN4p
FoCocaF+BtVTh7pR0WMUgothqAX2GISxHOrr1epyY66q6zqnmC436WhE+zjAQj1UaMSa+k69rNZL
StUSbSQHCc0GUjnl6E02LPXkaxjbJsWSvGTfGCkryZwpsbL+QDB/c21R2/QlrUhvGmDP55TEyfmN
HUvRnSdLkQfOPrcpLfMmFwRspAspnSxHJvP1Ulp6Bh18impQwWl/rmxghe9tYN6g2iMd1hTJ4/vT
dFXXJ0QkCf6EmOZFPKqMVB9DlRufryUg9xQ2vxt4XNRRT8qGRbqECcDLaDwgINe5AF8xEiuSbsHf
E3Ml+uxg+VSRD+UL4JY2ObQfbdDcUAC7iYB4wwbsDfBRIqiZcKCAgv0GFaa7EACxgIpXRVLNjAY/
TgWUvGpQ5UoAzP+e/3+EhpoSYIVMxBfO/zXF/7HXynnc/uch55HERh3iHfqzKyKP8Xt2EznifEUl
mKpy/Ce56CG5SdP7HPsVjvyaqRmAjsAF+3JiqY/Jo7BDohIYZIBsqZ9IbjpCcIEWdcivwTRliis4
9wtY4ABcnJSVHOiTZXVdLmZeHp350f2BNp6AiFHWYXXIoxscYafZWo0W6ZobWHSy8S36K9hOsLoO
7IH/GiNUAwS2sjhlgGii+CpbD6T2x/VnNc3OI6itZWC/qJZEYIHMCMmoARUUyP6+5fO1Z01JS7QK
aSylSt7bgPbrdRBfkGkKQe2MRFDL9DhQar5km+NJ5kljCrxKN6C7abD4UGZNm3ZJtGyPaOg4yUh/
lOpL4OlkclMvi9Fcod17jssA5WzC0YBOjcu4GGCrPFo9Z9QoKiuDkt93FYQhRACjxdIPvxDC8FYZ
pbYxx9wzBsG+Hhi1Ah1/qVxkAL9/1+uovIwmyxLOeaIY1QgSwEhdXJoFCd/62sAKyhAyfKP9HQzF
PW9Boge7PQSaIudT65np5nJe2H7vS0USiBYP1ZUHf0U6KMJ5sZ6MTZoa5uP/L6uxgz9Fc4dhYw0+
lW5Wf3ahHi0eSNzFt38ldIK6SX7tR/vl+bSgHQ3BFoecJmVciBF4QRIf2hRW58G6e5DUjPclCZFT
UNczo2EF+ZLQqsIDBoreXGQ5RnCy777u2aRmy6CAcAuIkhgKkA/f9cMdn1DCy8+31ebLv2k9gQMd
fXwW0BQpmBYtHYBKEhxp2eLmxTzWwpGM71rQlD4RHEIJKrlO4jrSAm3MsNJUVQCCNhf2ihseTJTn
psLLT3hKLfAWO2qBuaCKwJ2u0gNEXGwvh3MB+icwaV21TDL1xbVV+xvSAmHAR7j8T88FCZ4PKqJJ
YN5qgQziQy1YNsQdlkG0iwbVzfXm5gKMfpSRdVsRUp/mB/CPmU/PBUvp8w3uv/bdbrytFSHbovyx
kxJUra8AwIjw8vZN48YcTgXhqRkN0ahOyOUtLggy45i+3ZRg9snAJ0Yl280zilXfVoLdh0CYXD1t
Wza5veFbsgrwn+Ned9KCYvVhB9VxirdKONYC64H265QJCfdbXOwgb2w9sIH9oLfw7D6pEpSEnoK6
KFFgwXU0Fyy1z3lBNTUc/OZ6c1pQodTsbBbkvkbcVbPkp7WAz6TiSdic4LdmYxsqfkMrgs1L6+wz
mewQMq4jUejmOjaOCvyVuBOkqWzV9BPewg+o6sERH/hBNGtc8MDNn/LUn/vB3jV7/P3O8Tyf/fG7
8LBbPxQe+fbe7gNS8GdrwTRu4cGXezexuc/u77sHfHzr1r32T7X/8H3gZk42hbSvufVumNvOc/+J
nHtn4Rx6xqid9fd9JH/83hrngUV8RXAeHskVrLSd5WbBJonbgpstu7vg0IlzJ98PUbxGQGOmX1fJ
AyeCOCs7Klvb7rGdZVNrkTmzVt9A6Gs4aHSXHMfutAimZevcRAwBu9RV+JkbOZWTuXtJQtmQ0Z1A
2fuz3m/JP7+Bt5SL+3a1IKlmJ5iFI7QezNqzcOsudNXM2E0ocWxL3m7BXSW/R+NBcKhxuHFE+mFX
weczx29NQIi5RdljZ7kQ1sVJ0F6R26NaZ9HxDH63tpZFuegJBp1UR2Jtiy2u64AvH9smyGvkEwhm
ZOU0rPeSGrMntt/9B0/mtD04xS9tAR+SMsgfqRnCnRPMjSv6G7SsB+H1U2wvVw7k+MeEnhI+end1
XDl57kz9MneLojWnFThtT6GSYOoHntNG+kg7OMEKvwrYC/KkaM1sOsaK4uquM5veJ9Rr0Ogxbdkm
KkSlE0lPyuxY9EkGnsTFkQ0hqdqyu6vk2r3PnCPvCTiBrMzO2r52V0573wL0ERBg19d4TQvj984i
zf2gva0j3z7B6hHyL9wsd+v9WBs/mwzYEwl/vv/yg8P+a56wGPlX6p+Oxi3Q585Kf7VtbdexNzc4
c8LjtQ+/AqhA1/F/9IOW46BsIcjOYsMIj6R9qkG0fQIj+zFz6Xi3f/JmCmrg+/sPfn2z/OuVvg8d
X+RrZNUdxX9Jymf6JwOcyCfwJbY3eDwRhfgTnEdu0L6b527LpVBp3X0Cy3jjrtunyh2Y1HWWP8eO
1PFV/tfN6KfQOvOJrjYn2IufLGzYkbd0HPStw74Te+Tb71eiWJo7vKqrol+tyug6+CCfJnEetMdO
F7ITWNjb5zNKXhz1U0jTQ+TyMf60j0g+9bc2uCZ+MY1cJ/vzfwAAAP//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1.xml"/><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45720</xdr:colOff>
      <xdr:row>1</xdr:row>
      <xdr:rowOff>114300</xdr:rowOff>
    </xdr:from>
    <xdr:to>
      <xdr:col>6</xdr:col>
      <xdr:colOff>45720</xdr:colOff>
      <xdr:row>15</xdr:row>
      <xdr:rowOff>135255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1EF4DBFF-7203-8764-14A8-B9FEF0463A1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01240" y="297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0</xdr:row>
      <xdr:rowOff>76200</xdr:rowOff>
    </xdr:from>
    <xdr:to>
      <xdr:col>26</xdr:col>
      <xdr:colOff>0</xdr:colOff>
      <xdr:row>4</xdr:row>
      <xdr:rowOff>22860</xdr:rowOff>
    </xdr:to>
    <xdr:sp macro="" textlink="">
      <xdr:nvSpPr>
        <xdr:cNvPr id="2" name="Rectangle: Rounded Corners 1">
          <a:extLst>
            <a:ext uri="{FF2B5EF4-FFF2-40B4-BE49-F238E27FC236}">
              <a16:creationId xmlns:a16="http://schemas.microsoft.com/office/drawing/2014/main" id="{1EABDCB3-A792-F06C-F9E5-837526190220}"/>
            </a:ext>
          </a:extLst>
        </xdr:cNvPr>
        <xdr:cNvSpPr/>
      </xdr:nvSpPr>
      <xdr:spPr>
        <a:xfrm>
          <a:off x="45720" y="76200"/>
          <a:ext cx="15803880" cy="6917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60960</xdr:colOff>
      <xdr:row>0</xdr:row>
      <xdr:rowOff>83820</xdr:rowOff>
    </xdr:from>
    <xdr:to>
      <xdr:col>1</xdr:col>
      <xdr:colOff>83820</xdr:colOff>
      <xdr:row>3</xdr:row>
      <xdr:rowOff>167640</xdr:rowOff>
    </xdr:to>
    <xdr:pic>
      <xdr:nvPicPr>
        <xdr:cNvPr id="4" name="Graphic 3" descr="Bar graph with upward trend with solid fill">
          <a:extLst>
            <a:ext uri="{FF2B5EF4-FFF2-40B4-BE49-F238E27FC236}">
              <a16:creationId xmlns:a16="http://schemas.microsoft.com/office/drawing/2014/main" id="{7198D2F3-C079-59B9-9642-EBB948CBBD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960" y="83820"/>
          <a:ext cx="632460" cy="632460"/>
        </a:xfrm>
        <a:prstGeom prst="rect">
          <a:avLst/>
        </a:prstGeom>
      </xdr:spPr>
    </xdr:pic>
    <xdr:clientData/>
  </xdr:twoCellAnchor>
  <xdr:oneCellAnchor>
    <xdr:from>
      <xdr:col>0</xdr:col>
      <xdr:colOff>172166</xdr:colOff>
      <xdr:row>0</xdr:row>
      <xdr:rowOff>0</xdr:rowOff>
    </xdr:from>
    <xdr:ext cx="5687614" cy="843757"/>
    <xdr:sp macro="" textlink="">
      <xdr:nvSpPr>
        <xdr:cNvPr id="5" name="Rectangle 4">
          <a:extLst>
            <a:ext uri="{FF2B5EF4-FFF2-40B4-BE49-F238E27FC236}">
              <a16:creationId xmlns:a16="http://schemas.microsoft.com/office/drawing/2014/main" id="{98968A27-6068-C2DB-5D5A-8CB7C487C31D}"/>
            </a:ext>
          </a:extLst>
        </xdr:cNvPr>
        <xdr:cNvSpPr/>
      </xdr:nvSpPr>
      <xdr:spPr>
        <a:xfrm>
          <a:off x="172166" y="0"/>
          <a:ext cx="5687614" cy="843757"/>
        </a:xfrm>
        <a:prstGeom prst="rect">
          <a:avLst/>
        </a:prstGeom>
        <a:noFill/>
      </xdr:spPr>
      <xdr:txBody>
        <a:bodyPr wrap="square" lIns="91440" tIns="45720" rIns="91440" bIns="45720">
          <a:spAutoFit/>
        </a:bodyPr>
        <a:lstStyle/>
        <a:p>
          <a:pPr algn="ctr"/>
          <a:r>
            <a:rPr lang="en-US" sz="4800" b="1" cap="none" spc="0">
              <a:ln w="0"/>
              <a:solidFill>
                <a:schemeClr val="bg2"/>
              </a:solidFill>
              <a:effectLst>
                <a:outerShdw blurRad="38100" dist="19050" dir="2700000" algn="tl" rotWithShape="0">
                  <a:schemeClr val="dk1">
                    <a:alpha val="40000"/>
                  </a:schemeClr>
                </a:outerShdw>
              </a:effectLst>
            </a:rPr>
            <a:t>Sales</a:t>
          </a:r>
          <a:r>
            <a:rPr lang="en-US" sz="4800" b="1" cap="none" spc="0" baseline="0">
              <a:ln w="0"/>
              <a:solidFill>
                <a:schemeClr val="bg2"/>
              </a:solidFill>
              <a:effectLst>
                <a:outerShdw blurRad="38100" dist="19050" dir="2700000" algn="tl" rotWithShape="0">
                  <a:schemeClr val="dk1">
                    <a:alpha val="40000"/>
                  </a:schemeClr>
                </a:outerShdw>
              </a:effectLst>
            </a:rPr>
            <a:t> Dashboard</a:t>
          </a:r>
          <a:endParaRPr lang="en-US" sz="4800" b="1" cap="none" spc="0">
            <a:ln w="0"/>
            <a:solidFill>
              <a:schemeClr val="bg2"/>
            </a:solidFill>
            <a:effectLst>
              <a:outerShdw blurRad="38100" dist="19050" dir="2700000" algn="tl" rotWithShape="0">
                <a:schemeClr val="dk1">
                  <a:alpha val="40000"/>
                </a:schemeClr>
              </a:outerShdw>
            </a:effectLst>
          </a:endParaRPr>
        </a:p>
      </xdr:txBody>
    </xdr:sp>
    <xdr:clientData/>
  </xdr:oneCellAnchor>
  <xdr:twoCellAnchor editAs="oneCell">
    <xdr:from>
      <xdr:col>9</xdr:col>
      <xdr:colOff>292948</xdr:colOff>
      <xdr:row>0</xdr:row>
      <xdr:rowOff>90594</xdr:rowOff>
    </xdr:from>
    <xdr:to>
      <xdr:col>16</xdr:col>
      <xdr:colOff>186268</xdr:colOff>
      <xdr:row>4</xdr:row>
      <xdr:rowOff>14393</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34655C44-7BF5-4074-83F6-8CE912FB292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779348" y="90594"/>
              <a:ext cx="4160520" cy="668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163406</xdr:colOff>
      <xdr:row>0</xdr:row>
      <xdr:rowOff>92287</xdr:rowOff>
    </xdr:from>
    <xdr:to>
      <xdr:col>25</xdr:col>
      <xdr:colOff>270933</xdr:colOff>
      <xdr:row>4</xdr:row>
      <xdr:rowOff>16933</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66E68979-9E9D-4E80-B1E4-9DEF208A3CA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26606" y="92287"/>
              <a:ext cx="4984327" cy="669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4</xdr:row>
      <xdr:rowOff>76200</xdr:rowOff>
    </xdr:from>
    <xdr:to>
      <xdr:col>7</xdr:col>
      <xdr:colOff>502920</xdr:colOff>
      <xdr:row>31</xdr:row>
      <xdr:rowOff>8466</xdr:rowOff>
    </xdr:to>
    <xdr:sp macro="" textlink="">
      <xdr:nvSpPr>
        <xdr:cNvPr id="8" name="Rectangle: Rounded Corners 7">
          <a:extLst>
            <a:ext uri="{FF2B5EF4-FFF2-40B4-BE49-F238E27FC236}">
              <a16:creationId xmlns:a16="http://schemas.microsoft.com/office/drawing/2014/main" id="{6558612F-2832-24A2-C9C9-CFE16F31286E}"/>
            </a:ext>
          </a:extLst>
        </xdr:cNvPr>
        <xdr:cNvSpPr/>
      </xdr:nvSpPr>
      <xdr:spPr>
        <a:xfrm>
          <a:off x="45720" y="821267"/>
          <a:ext cx="4724400" cy="4961466"/>
        </a:xfrm>
        <a:prstGeom prst="roundRect">
          <a:avLst/>
        </a:prstGeom>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7</xdr:col>
      <xdr:colOff>579119</xdr:colOff>
      <xdr:row>4</xdr:row>
      <xdr:rowOff>144780</xdr:rowOff>
    </xdr:from>
    <xdr:to>
      <xdr:col>26</xdr:col>
      <xdr:colOff>8466</xdr:colOff>
      <xdr:row>18</xdr:row>
      <xdr:rowOff>67733</xdr:rowOff>
    </xdr:to>
    <xdr:sp macro="" textlink="">
      <xdr:nvSpPr>
        <xdr:cNvPr id="9" name="Rectangle: Rounded Corners 8">
          <a:extLst>
            <a:ext uri="{FF2B5EF4-FFF2-40B4-BE49-F238E27FC236}">
              <a16:creationId xmlns:a16="http://schemas.microsoft.com/office/drawing/2014/main" id="{6AEC744F-F012-327A-6A64-4DB7E6BECA5F}"/>
            </a:ext>
          </a:extLst>
        </xdr:cNvPr>
        <xdr:cNvSpPr/>
      </xdr:nvSpPr>
      <xdr:spPr>
        <a:xfrm>
          <a:off x="4846319" y="889847"/>
          <a:ext cx="11011747" cy="2530686"/>
        </a:xfrm>
        <a:prstGeom prst="roundRect">
          <a:avLst/>
        </a:prstGeom>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579119</xdr:colOff>
      <xdr:row>18</xdr:row>
      <xdr:rowOff>118533</xdr:rowOff>
    </xdr:from>
    <xdr:to>
      <xdr:col>15</xdr:col>
      <xdr:colOff>135467</xdr:colOff>
      <xdr:row>30</xdr:row>
      <xdr:rowOff>149014</xdr:rowOff>
    </xdr:to>
    <xdr:sp macro="" textlink="">
      <xdr:nvSpPr>
        <xdr:cNvPr id="10" name="Rectangle: Rounded Corners 9">
          <a:extLst>
            <a:ext uri="{FF2B5EF4-FFF2-40B4-BE49-F238E27FC236}">
              <a16:creationId xmlns:a16="http://schemas.microsoft.com/office/drawing/2014/main" id="{2EE8D0EE-68BE-3ED0-BD1F-C30D22CF4C7C}"/>
            </a:ext>
          </a:extLst>
        </xdr:cNvPr>
        <xdr:cNvSpPr/>
      </xdr:nvSpPr>
      <xdr:spPr>
        <a:xfrm>
          <a:off x="4846319" y="3471333"/>
          <a:ext cx="4433148" cy="2265681"/>
        </a:xfrm>
        <a:prstGeom prst="roundRect">
          <a:avLst/>
        </a:prstGeom>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426720</xdr:colOff>
      <xdr:row>7</xdr:row>
      <xdr:rowOff>93133</xdr:rowOff>
    </xdr:from>
    <xdr:to>
      <xdr:col>6</xdr:col>
      <xdr:colOff>533400</xdr:colOff>
      <xdr:row>29</xdr:row>
      <xdr:rowOff>126999</xdr:rowOff>
    </xdr:to>
    <xdr:graphicFrame macro="">
      <xdr:nvGraphicFramePr>
        <xdr:cNvPr id="11" name="Chart 10">
          <a:extLst>
            <a:ext uri="{FF2B5EF4-FFF2-40B4-BE49-F238E27FC236}">
              <a16:creationId xmlns:a16="http://schemas.microsoft.com/office/drawing/2014/main" id="{0A3A6039-E673-4762-A7DE-320940045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147320</xdr:colOff>
      <xdr:row>6</xdr:row>
      <xdr:rowOff>152399</xdr:rowOff>
    </xdr:from>
    <xdr:to>
      <xdr:col>14</xdr:col>
      <xdr:colOff>160867</xdr:colOff>
      <xdr:row>17</xdr:row>
      <xdr:rowOff>135465</xdr:rowOff>
    </xdr:to>
    <xdr:graphicFrame macro="">
      <xdr:nvGraphicFramePr>
        <xdr:cNvPr id="12" name="Chart 11">
          <a:extLst>
            <a:ext uri="{FF2B5EF4-FFF2-40B4-BE49-F238E27FC236}">
              <a16:creationId xmlns:a16="http://schemas.microsoft.com/office/drawing/2014/main" id="{3C5D270E-A74E-4914-9083-70C6C2706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516467</xdr:colOff>
      <xdr:row>18</xdr:row>
      <xdr:rowOff>127000</xdr:rowOff>
    </xdr:from>
    <xdr:to>
      <xdr:col>26</xdr:col>
      <xdr:colOff>16933</xdr:colOff>
      <xdr:row>30</xdr:row>
      <xdr:rowOff>157481</xdr:rowOff>
    </xdr:to>
    <xdr:sp macro="" textlink="">
      <xdr:nvSpPr>
        <xdr:cNvPr id="13" name="Rectangle: Rounded Corners 12">
          <a:extLst>
            <a:ext uri="{FF2B5EF4-FFF2-40B4-BE49-F238E27FC236}">
              <a16:creationId xmlns:a16="http://schemas.microsoft.com/office/drawing/2014/main" id="{174B90C8-C068-E496-D627-85DAAE86D546}"/>
            </a:ext>
          </a:extLst>
        </xdr:cNvPr>
        <xdr:cNvSpPr/>
      </xdr:nvSpPr>
      <xdr:spPr>
        <a:xfrm>
          <a:off x="9660467" y="3479800"/>
          <a:ext cx="6206066" cy="2265681"/>
        </a:xfrm>
        <a:prstGeom prst="roundRect">
          <a:avLst/>
        </a:prstGeom>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8</xdr:col>
      <xdr:colOff>265853</xdr:colOff>
      <xdr:row>20</xdr:row>
      <xdr:rowOff>33866</xdr:rowOff>
    </xdr:from>
    <xdr:to>
      <xdr:col>14</xdr:col>
      <xdr:colOff>372532</xdr:colOff>
      <xdr:row>30</xdr:row>
      <xdr:rowOff>70272</xdr:rowOff>
    </xdr:to>
    <xdr:graphicFrame macro="">
      <xdr:nvGraphicFramePr>
        <xdr:cNvPr id="14" name="Chart 13">
          <a:extLst>
            <a:ext uri="{FF2B5EF4-FFF2-40B4-BE49-F238E27FC236}">
              <a16:creationId xmlns:a16="http://schemas.microsoft.com/office/drawing/2014/main" id="{5EDBE959-2737-4119-9061-8C5BD3E5D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245533</xdr:colOff>
      <xdr:row>6</xdr:row>
      <xdr:rowOff>143932</xdr:rowOff>
    </xdr:from>
    <xdr:to>
      <xdr:col>21</xdr:col>
      <xdr:colOff>245533</xdr:colOff>
      <xdr:row>18</xdr:row>
      <xdr:rowOff>25399</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6B96C097-A1EA-4ADC-9952-380A00B5F9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779933" y="1241212"/>
              <a:ext cx="4267200" cy="20760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25403</xdr:colOff>
      <xdr:row>20</xdr:row>
      <xdr:rowOff>110067</xdr:rowOff>
    </xdr:from>
    <xdr:to>
      <xdr:col>25</xdr:col>
      <xdr:colOff>16937</xdr:colOff>
      <xdr:row>30</xdr:row>
      <xdr:rowOff>101600</xdr:rowOff>
    </xdr:to>
    <xdr:graphicFrame macro="">
      <xdr:nvGraphicFramePr>
        <xdr:cNvPr id="16" name="Chart 15">
          <a:extLst>
            <a:ext uri="{FF2B5EF4-FFF2-40B4-BE49-F238E27FC236}">
              <a16:creationId xmlns:a16="http://schemas.microsoft.com/office/drawing/2014/main" id="{EC457A92-B4C4-4397-B4CC-8FA178D15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304799</xdr:colOff>
      <xdr:row>6</xdr:row>
      <xdr:rowOff>169332</xdr:rowOff>
    </xdr:from>
    <xdr:to>
      <xdr:col>25</xdr:col>
      <xdr:colOff>340358</xdr:colOff>
      <xdr:row>18</xdr:row>
      <xdr:rowOff>25399</xdr:rowOff>
    </xdr:to>
    <xdr:graphicFrame macro="">
      <xdr:nvGraphicFramePr>
        <xdr:cNvPr id="17" name="Chart 16">
          <a:extLst>
            <a:ext uri="{FF2B5EF4-FFF2-40B4-BE49-F238E27FC236}">
              <a16:creationId xmlns:a16="http://schemas.microsoft.com/office/drawing/2014/main" id="{45C92FFC-B89D-4296-A3DA-C2C4F19D0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xdr:col>
      <xdr:colOff>311778</xdr:colOff>
      <xdr:row>4</xdr:row>
      <xdr:rowOff>94187</xdr:rowOff>
    </xdr:from>
    <xdr:ext cx="2973289" cy="405432"/>
    <xdr:sp macro="" textlink="">
      <xdr:nvSpPr>
        <xdr:cNvPr id="18" name="Rectangle 17">
          <a:extLst>
            <a:ext uri="{FF2B5EF4-FFF2-40B4-BE49-F238E27FC236}">
              <a16:creationId xmlns:a16="http://schemas.microsoft.com/office/drawing/2014/main" id="{7183B572-43D3-268C-7733-0CD751D69721}"/>
            </a:ext>
          </a:extLst>
        </xdr:cNvPr>
        <xdr:cNvSpPr/>
      </xdr:nvSpPr>
      <xdr:spPr>
        <a:xfrm>
          <a:off x="921378" y="839254"/>
          <a:ext cx="2973289" cy="405432"/>
        </a:xfrm>
        <a:prstGeom prst="rect">
          <a:avLst/>
        </a:prstGeom>
        <a:noFill/>
      </xdr:spPr>
      <xdr:txBody>
        <a:bodyPr wrap="square" lIns="91440" tIns="45720" rIns="91440" bIns="45720">
          <a:spAutoFit/>
        </a:bodyPr>
        <a:lstStyle/>
        <a:p>
          <a:pPr algn="ctr"/>
          <a:r>
            <a:rPr lang="en-US" sz="2000" b="0" i="1" cap="none" spc="0">
              <a:ln w="0"/>
              <a:solidFill>
                <a:schemeClr val="tx1"/>
              </a:solidFill>
              <a:effectLst>
                <a:outerShdw blurRad="38100" dist="19050" dir="2700000" algn="tl" rotWithShape="0">
                  <a:schemeClr val="dk1">
                    <a:alpha val="40000"/>
                  </a:schemeClr>
                </a:outerShdw>
              </a:effectLst>
            </a:rPr>
            <a:t>Sales</a:t>
          </a:r>
          <a:r>
            <a:rPr lang="en-US" sz="2000" b="0" i="1" cap="none" spc="0" baseline="0">
              <a:ln w="0"/>
              <a:solidFill>
                <a:schemeClr val="tx1"/>
              </a:solidFill>
              <a:effectLst>
                <a:outerShdw blurRad="38100" dist="19050" dir="2700000" algn="tl" rotWithShape="0">
                  <a:schemeClr val="dk1">
                    <a:alpha val="40000"/>
                  </a:schemeClr>
                </a:outerShdw>
              </a:effectLst>
            </a:rPr>
            <a:t> By Category</a:t>
          </a:r>
          <a:endParaRPr lang="en-US" sz="2000" b="0" i="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565778</xdr:colOff>
      <xdr:row>4</xdr:row>
      <xdr:rowOff>119588</xdr:rowOff>
    </xdr:from>
    <xdr:ext cx="2727756" cy="405432"/>
    <xdr:sp macro="" textlink="">
      <xdr:nvSpPr>
        <xdr:cNvPr id="19" name="Rectangle 18">
          <a:extLst>
            <a:ext uri="{FF2B5EF4-FFF2-40B4-BE49-F238E27FC236}">
              <a16:creationId xmlns:a16="http://schemas.microsoft.com/office/drawing/2014/main" id="{AD2ECB25-7F2D-D04B-0B4D-2B31E685103B}"/>
            </a:ext>
          </a:extLst>
        </xdr:cNvPr>
        <xdr:cNvSpPr/>
      </xdr:nvSpPr>
      <xdr:spPr>
        <a:xfrm>
          <a:off x="5442578" y="864655"/>
          <a:ext cx="2727756" cy="405432"/>
        </a:xfrm>
        <a:prstGeom prst="rect">
          <a:avLst/>
        </a:prstGeom>
        <a:noFill/>
      </xdr:spPr>
      <xdr:txBody>
        <a:bodyPr wrap="square" lIns="91440" tIns="45720" rIns="91440" bIns="45720">
          <a:spAutoFit/>
        </a:bodyPr>
        <a:lstStyle/>
        <a:p>
          <a:pPr algn="ctr"/>
          <a:r>
            <a:rPr lang="en-US" sz="2000" b="0" i="1" cap="none" spc="0">
              <a:ln w="0"/>
              <a:solidFill>
                <a:schemeClr val="tx1"/>
              </a:solidFill>
              <a:effectLst>
                <a:outerShdw blurRad="38100" dist="19050" dir="2700000" algn="tl" rotWithShape="0">
                  <a:schemeClr val="dk1">
                    <a:alpha val="40000"/>
                  </a:schemeClr>
                </a:outerShdw>
              </a:effectLst>
            </a:rPr>
            <a:t>Profit Gained Over Time</a:t>
          </a:r>
        </a:p>
      </xdr:txBody>
    </xdr:sp>
    <xdr:clientData/>
  </xdr:oneCellAnchor>
  <xdr:oneCellAnchor>
    <xdr:from>
      <xdr:col>15</xdr:col>
      <xdr:colOff>235578</xdr:colOff>
      <xdr:row>4</xdr:row>
      <xdr:rowOff>119588</xdr:rowOff>
    </xdr:from>
    <xdr:ext cx="2727756" cy="405432"/>
    <xdr:sp macro="" textlink="">
      <xdr:nvSpPr>
        <xdr:cNvPr id="24" name="Rectangle 23">
          <a:extLst>
            <a:ext uri="{FF2B5EF4-FFF2-40B4-BE49-F238E27FC236}">
              <a16:creationId xmlns:a16="http://schemas.microsoft.com/office/drawing/2014/main" id="{681FA497-78CB-DE92-F1FC-26AB003E9516}"/>
            </a:ext>
          </a:extLst>
        </xdr:cNvPr>
        <xdr:cNvSpPr/>
      </xdr:nvSpPr>
      <xdr:spPr>
        <a:xfrm>
          <a:off x="9379578" y="864655"/>
          <a:ext cx="2727756" cy="405432"/>
        </a:xfrm>
        <a:prstGeom prst="rect">
          <a:avLst/>
        </a:prstGeom>
        <a:noFill/>
      </xdr:spPr>
      <xdr:txBody>
        <a:bodyPr wrap="square" lIns="91440" tIns="45720" rIns="91440" bIns="45720">
          <a:spAutoFit/>
        </a:bodyPr>
        <a:lstStyle/>
        <a:p>
          <a:pPr algn="ctr"/>
          <a:r>
            <a:rPr lang="en-US" sz="2000" b="0" i="1"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21</xdr:col>
      <xdr:colOff>176311</xdr:colOff>
      <xdr:row>4</xdr:row>
      <xdr:rowOff>136522</xdr:rowOff>
    </xdr:from>
    <xdr:ext cx="2727756" cy="405432"/>
    <xdr:sp macro="" textlink="">
      <xdr:nvSpPr>
        <xdr:cNvPr id="25" name="Rectangle 24">
          <a:extLst>
            <a:ext uri="{FF2B5EF4-FFF2-40B4-BE49-F238E27FC236}">
              <a16:creationId xmlns:a16="http://schemas.microsoft.com/office/drawing/2014/main" id="{6BEDE4A8-7769-C10A-5EA7-00AA99B172D0}"/>
            </a:ext>
          </a:extLst>
        </xdr:cNvPr>
        <xdr:cNvSpPr/>
      </xdr:nvSpPr>
      <xdr:spPr>
        <a:xfrm>
          <a:off x="12977911" y="881589"/>
          <a:ext cx="2727756" cy="405432"/>
        </a:xfrm>
        <a:prstGeom prst="rect">
          <a:avLst/>
        </a:prstGeom>
        <a:noFill/>
      </xdr:spPr>
      <xdr:txBody>
        <a:bodyPr wrap="square" lIns="91440" tIns="45720" rIns="91440" bIns="45720">
          <a:spAutoFit/>
        </a:bodyPr>
        <a:lstStyle/>
        <a:p>
          <a:pPr algn="ctr"/>
          <a:r>
            <a:rPr lang="en-US" sz="2000" b="0" i="1"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9</xdr:col>
      <xdr:colOff>108578</xdr:colOff>
      <xdr:row>18</xdr:row>
      <xdr:rowOff>68789</xdr:rowOff>
    </xdr:from>
    <xdr:ext cx="2727756" cy="405432"/>
    <xdr:sp macro="" textlink="">
      <xdr:nvSpPr>
        <xdr:cNvPr id="26" name="Rectangle 25">
          <a:extLst>
            <a:ext uri="{FF2B5EF4-FFF2-40B4-BE49-F238E27FC236}">
              <a16:creationId xmlns:a16="http://schemas.microsoft.com/office/drawing/2014/main" id="{97E10B95-8C33-7A66-61EA-86138CA506C7}"/>
            </a:ext>
          </a:extLst>
        </xdr:cNvPr>
        <xdr:cNvSpPr/>
      </xdr:nvSpPr>
      <xdr:spPr>
        <a:xfrm>
          <a:off x="5594978" y="3421589"/>
          <a:ext cx="2727756" cy="405432"/>
        </a:xfrm>
        <a:prstGeom prst="rect">
          <a:avLst/>
        </a:prstGeom>
        <a:noFill/>
      </xdr:spPr>
      <xdr:txBody>
        <a:bodyPr wrap="square" lIns="91440" tIns="45720" rIns="91440" bIns="45720">
          <a:spAutoFit/>
        </a:bodyPr>
        <a:lstStyle/>
        <a:p>
          <a:pPr algn="ctr"/>
          <a:r>
            <a:rPr lang="en-US" sz="2000" b="0" i="1" cap="none" spc="0">
              <a:ln w="0"/>
              <a:solidFill>
                <a:schemeClr val="tx1"/>
              </a:solidFill>
              <a:effectLst>
                <a:outerShdw blurRad="38100" dist="19050" dir="2700000" algn="tl" rotWithShape="0">
                  <a:schemeClr val="dk1">
                    <a:alpha val="40000"/>
                  </a:schemeClr>
                </a:outerShdw>
              </a:effectLst>
            </a:rPr>
            <a:t>Top 5</a:t>
          </a:r>
          <a:r>
            <a:rPr lang="en-US" sz="2000" b="0" i="1" cap="none" spc="0" baseline="0">
              <a:ln w="0"/>
              <a:solidFill>
                <a:schemeClr val="tx1"/>
              </a:solidFill>
              <a:effectLst>
                <a:outerShdw blurRad="38100" dist="19050" dir="2700000" algn="tl" rotWithShape="0">
                  <a:schemeClr val="dk1">
                    <a:alpha val="40000"/>
                  </a:schemeClr>
                </a:outerShdw>
              </a:effectLst>
            </a:rPr>
            <a:t> Customers</a:t>
          </a:r>
          <a:endParaRPr lang="en-US" sz="2000" b="0" i="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379511</xdr:colOff>
      <xdr:row>18</xdr:row>
      <xdr:rowOff>77255</xdr:rowOff>
    </xdr:from>
    <xdr:ext cx="2727756" cy="405432"/>
    <xdr:sp macro="" textlink="">
      <xdr:nvSpPr>
        <xdr:cNvPr id="27" name="Rectangle 26">
          <a:extLst>
            <a:ext uri="{FF2B5EF4-FFF2-40B4-BE49-F238E27FC236}">
              <a16:creationId xmlns:a16="http://schemas.microsoft.com/office/drawing/2014/main" id="{9343D135-CE8C-FD63-8A19-82D53532CADD}"/>
            </a:ext>
          </a:extLst>
        </xdr:cNvPr>
        <xdr:cNvSpPr/>
      </xdr:nvSpPr>
      <xdr:spPr>
        <a:xfrm>
          <a:off x="11352311" y="3430055"/>
          <a:ext cx="2727756" cy="405432"/>
        </a:xfrm>
        <a:prstGeom prst="rect">
          <a:avLst/>
        </a:prstGeom>
        <a:noFill/>
      </xdr:spPr>
      <xdr:txBody>
        <a:bodyPr wrap="square" lIns="91440" tIns="45720" rIns="91440" bIns="45720">
          <a:spAutoFit/>
        </a:bodyPr>
        <a:lstStyle/>
        <a:p>
          <a:pPr algn="ctr"/>
          <a:r>
            <a:rPr lang="en-US" sz="2000" b="0" i="1" cap="none" spc="0">
              <a:ln w="0"/>
              <a:solidFill>
                <a:schemeClr val="tx1"/>
              </a:solidFill>
              <a:effectLst>
                <a:outerShdw blurRad="38100" dist="19050" dir="2700000" algn="tl" rotWithShape="0">
                  <a:schemeClr val="dk1">
                    <a:alpha val="40000"/>
                  </a:schemeClr>
                </a:outerShdw>
              </a:effectLst>
            </a:rPr>
            <a:t>Monthly</a:t>
          </a:r>
          <a:r>
            <a:rPr lang="en-US" sz="2000" b="0" i="1" cap="none" spc="0" baseline="0">
              <a:ln w="0"/>
              <a:solidFill>
                <a:schemeClr val="tx1"/>
              </a:solidFill>
              <a:effectLst>
                <a:outerShdw blurRad="38100" dist="19050" dir="2700000" algn="tl" rotWithShape="0">
                  <a:schemeClr val="dk1">
                    <a:alpha val="40000"/>
                  </a:schemeClr>
                </a:outerShdw>
              </a:effectLst>
            </a:rPr>
            <a:t> Sales</a:t>
          </a:r>
          <a:endParaRPr lang="en-US" sz="2000" b="0" i="1"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7.709939583336" createdVersion="8" refreshedVersion="8" minRefreshableVersion="3" recordCount="500" xr:uid="{B28BC308-B437-4576-B61F-B6DEE7836F21}">
  <cacheSource type="worksheet">
    <worksheetSource name="Table1"/>
  </cacheSource>
  <cacheFields count="11">
    <cacheField name="Order Date" numFmtId="14">
      <sharedItems containsSemiMixedTypes="0" containsNonDate="0" containsDate="1" containsString="0" minDate="2025-01-05T00:00:00" maxDate="2026-01-06T00:00:00"/>
    </cacheField>
    <cacheField name="year" numFmtId="1">
      <sharedItems containsSemiMixedTypes="0" containsString="0" containsNumber="1" containsInteger="1" minValue="2025" maxValue="2026" count="2">
        <n v="2025"/>
        <n v="2026"/>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98">
        <s v="Grace Blue"/>
        <s v="Eva White"/>
        <s v="Carol White"/>
        <s v="Jane Smith"/>
        <s v="Hank Doe"/>
        <s v="Jane Yellow"/>
        <s v="Hank White"/>
        <s v="Jane Brown"/>
        <s v="Carol Yellow"/>
        <s v="David Brown"/>
        <s v="Hank Johnson"/>
        <s v="John Green"/>
        <s v="Alice Green"/>
        <s v="Bob Black"/>
        <s v="John Brown"/>
        <s v="Hank Yellow"/>
        <s v="Carol Orange"/>
        <s v="Jane White"/>
        <s v="Frank Green"/>
        <s v="Hank Brown"/>
        <s v="Bob Brown"/>
        <s v="John Smith"/>
        <s v="David Orange"/>
        <s v="Frank Smith"/>
        <s v="Alice Yellow"/>
        <s v="Hank Smith"/>
        <s v="Frank Brown"/>
        <s v="Jane Orange"/>
        <s v="Carol Blue"/>
        <s v="Eva Green"/>
        <s v="Frank Yellow"/>
        <s v="David Blue"/>
        <s v="Grace White"/>
        <s v="David Doe"/>
        <s v="Grace Brown"/>
        <s v="Jane Black"/>
        <s v="John Orange"/>
        <s v="Alice Black"/>
        <s v="Eva Black"/>
        <s v="Eva Blue"/>
        <s v="Carol Black"/>
        <s v="Alice Doe"/>
        <s v="Alice Brown"/>
        <s v="Bob Smith"/>
        <s v="Alice Smith"/>
        <s v="Eva Johnson"/>
        <s v="John Johnson"/>
        <s v="Hank Black"/>
        <s v="Bob Orange"/>
        <s v="Eva Smith"/>
        <s v="Bob White"/>
        <s v="John Yellow"/>
        <s v="David Yellow"/>
        <s v="David White"/>
        <s v="Jane Blue"/>
        <s v="Eva Orange"/>
        <s v="Eva Yellow"/>
        <s v="Grace Black"/>
        <s v="Frank Johnson"/>
        <s v="Frank White"/>
        <s v="Alice Blue"/>
        <s v="John White"/>
        <s v="Grace Doe"/>
        <s v="David Smith"/>
        <s v="Jane Doe"/>
        <s v="Eva Brown"/>
        <s v="Jane Johnson"/>
        <s v="Alice Orange"/>
        <s v="David Black"/>
        <s v="Carol Doe"/>
        <s v="Bob Johnson"/>
        <s v="Hank Green"/>
        <s v="Frank Black"/>
        <s v="Bob Yellow"/>
        <s v="Frank Orange"/>
        <s v="Alice White"/>
        <s v="David Johnson"/>
        <s v="Carol Green"/>
        <s v="Carol Brown"/>
        <s v="Frank Blue"/>
        <s v="Hank Orange"/>
        <s v="John Doe"/>
        <s v="David Green"/>
        <s v="Bob Green"/>
        <s v="Grace Smith"/>
        <s v="Frank Doe"/>
        <s v="Carol Smith"/>
        <s v="Eva Doe"/>
        <s v="Jane Green"/>
        <s v="Hank Blue"/>
        <s v="Grace Green"/>
        <s v="Grace Yellow"/>
        <s v="Grace Orange"/>
        <s v="John Black"/>
        <s v="Carol Johnson"/>
        <s v="Grace Johnson"/>
        <s v="Bob Blue"/>
        <s v="Alice Johnson"/>
      </sharedItems>
    </cacheField>
    <cacheField name="State" numFmtId="0">
      <sharedItems count="10">
        <s v="New York"/>
        <s v="Nevada"/>
        <s v="Florida"/>
        <s v="Washington"/>
        <s v="Ohio"/>
        <s v="Illinois"/>
        <s v="California"/>
        <s v="Texas"/>
        <s v="Arizona"/>
        <s v="Georgia"/>
      </sharedItems>
    </cacheField>
    <cacheField name="Category" numFmtId="0">
      <sharedItems count="3">
        <s v="Electronics"/>
        <s v="Clothing"/>
        <s v="Furniture"/>
      </sharedItems>
    </cacheField>
    <cacheField name="Sub-Category" numFmtId="0">
      <sharedItems count="3">
        <s v="Gadgets"/>
        <s v="Apparel"/>
        <s v="Home"/>
      </sharedItems>
    </cacheField>
    <cacheField name="Product Name" numFmtId="0">
      <sharedItems/>
    </cacheField>
    <cacheField name="Sales" numFmtId="164">
      <sharedItems containsSemiMixedTypes="0" containsString="0" containsNumber="1" minValue="10.28" maxValue="1496.92"/>
    </cacheField>
    <cacheField name="Quantity" numFmtId="0">
      <sharedItems containsSemiMixedTypes="0" containsString="0" containsNumber="1" containsInteger="1" minValue="1" maxValue="5"/>
    </cacheField>
    <cacheField name="Profit" numFmtId="6">
      <sharedItems containsSemiMixedTypes="0" containsString="0" containsNumber="1" minValue="0.8" maxValue="441.74"/>
    </cacheField>
  </cacheFields>
  <extLst>
    <ext xmlns:x14="http://schemas.microsoft.com/office/spreadsheetml/2009/9/main" uri="{725AE2AE-9491-48be-B2B4-4EB974FC3084}">
      <x14:pivotCacheDefinition pivotCacheId="14243372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7.730624768519" createdVersion="8" refreshedVersion="8" minRefreshableVersion="3" recordCount="500" xr:uid="{14E2B230-C06C-4D1E-A079-FEA113950315}">
  <cacheSource type="worksheet">
    <worksheetSource name="Table3"/>
  </cacheSource>
  <cacheFields count="2">
    <cacheField name="Year" numFmtId="1">
      <sharedItems containsSemiMixedTypes="0" containsString="0" containsNumber="1" containsInteger="1" minValue="2025" maxValue="2026" count="2">
        <n v="2025"/>
        <n v="2026"/>
      </sharedItems>
    </cacheField>
    <cacheField name="Customer name" numFmtId="0">
      <sharedItems count="98">
        <s v="Grace Blue"/>
        <s v="Eva White"/>
        <s v="Carol White"/>
        <s v="Jane Smith"/>
        <s v="Hank Doe"/>
        <s v="Jane Yellow"/>
        <s v="Hank White"/>
        <s v="Jane Brown"/>
        <s v="Carol Yellow"/>
        <s v="David Brown"/>
        <s v="Hank Johnson"/>
        <s v="John Green"/>
        <s v="Alice Green"/>
        <s v="Bob Black"/>
        <s v="John Brown"/>
        <s v="Hank Yellow"/>
        <s v="Carol Orange"/>
        <s v="Jane White"/>
        <s v="Frank Green"/>
        <s v="Hank Brown"/>
        <s v="Bob Brown"/>
        <s v="John Smith"/>
        <s v="David Orange"/>
        <s v="Frank Smith"/>
        <s v="Alice Yellow"/>
        <s v="Hank Smith"/>
        <s v="Frank Brown"/>
        <s v="Jane Orange"/>
        <s v="Carol Blue"/>
        <s v="Eva Green"/>
        <s v="Frank Yellow"/>
        <s v="David Blue"/>
        <s v="Grace White"/>
        <s v="David Doe"/>
        <s v="Grace Brown"/>
        <s v="Jane Black"/>
        <s v="John Orange"/>
        <s v="Alice Black"/>
        <s v="Eva Black"/>
        <s v="Eva Blue"/>
        <s v="Carol Black"/>
        <s v="Alice Doe"/>
        <s v="Alice Brown"/>
        <s v="Bob Smith"/>
        <s v="Alice Smith"/>
        <s v="Eva Johnson"/>
        <s v="John Johnson"/>
        <s v="Hank Black"/>
        <s v="Bob Orange"/>
        <s v="Eva Smith"/>
        <s v="Bob White"/>
        <s v="John Yellow"/>
        <s v="David Yellow"/>
        <s v="David White"/>
        <s v="Jane Blue"/>
        <s v="Eva Orange"/>
        <s v="Eva Yellow"/>
        <s v="Grace Black"/>
        <s v="Frank Johnson"/>
        <s v="Frank White"/>
        <s v="Alice Blue"/>
        <s v="John White"/>
        <s v="Grace Doe"/>
        <s v="David Smith"/>
        <s v="Jane Doe"/>
        <s v="Eva Brown"/>
        <s v="Jane Johnson"/>
        <s v="Alice Orange"/>
        <s v="David Black"/>
        <s v="Carol Doe"/>
        <s v="Bob Johnson"/>
        <s v="Hank Green"/>
        <s v="Frank Black"/>
        <s v="Bob Yellow"/>
        <s v="Frank Orange"/>
        <s v="Alice White"/>
        <s v="David Johnson"/>
        <s v="Carol Green"/>
        <s v="Carol Brown"/>
        <s v="Frank Blue"/>
        <s v="Hank Orange"/>
        <s v="John Doe"/>
        <s v="David Green"/>
        <s v="Bob Green"/>
        <s v="Grace Smith"/>
        <s v="Frank Doe"/>
        <s v="Carol Smith"/>
        <s v="Eva Doe"/>
        <s v="Jane Green"/>
        <s v="Hank Blue"/>
        <s v="Grace Green"/>
        <s v="Grace Yellow"/>
        <s v="Grace Orange"/>
        <s v="John Black"/>
        <s v="Carol Johnson"/>
        <s v="Grace Johnson"/>
        <s v="Bob Blue"/>
        <s v="Alice Johnso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5-01-05T00:00:00"/>
    <x v="0"/>
    <x v="0"/>
    <x v="0"/>
    <x v="0"/>
    <x v="0"/>
    <x v="0"/>
    <s v="Laptop"/>
    <n v="1406.07"/>
    <n v="1"/>
    <n v="249.48"/>
  </r>
  <r>
    <d v="2025-01-06T00:00:00"/>
    <x v="0"/>
    <x v="0"/>
    <x v="1"/>
    <x v="1"/>
    <x v="1"/>
    <x v="1"/>
    <s v="Sweater"/>
    <n v="435.71"/>
    <n v="1"/>
    <n v="46.14"/>
  </r>
  <r>
    <d v="2025-01-06T00:00:00"/>
    <x v="0"/>
    <x v="0"/>
    <x v="2"/>
    <x v="2"/>
    <x v="2"/>
    <x v="2"/>
    <s v="Desk"/>
    <n v="947.66"/>
    <n v="5"/>
    <n v="237.28"/>
  </r>
  <r>
    <d v="2025-01-09T00:00:00"/>
    <x v="0"/>
    <x v="0"/>
    <x v="3"/>
    <x v="3"/>
    <x v="0"/>
    <x v="0"/>
    <s v="Smartphone"/>
    <n v="21.23"/>
    <n v="5"/>
    <n v="1.87"/>
  </r>
  <r>
    <d v="2025-01-09T00:00:00"/>
    <x v="0"/>
    <x v="0"/>
    <x v="4"/>
    <x v="4"/>
    <x v="2"/>
    <x v="2"/>
    <s v="Desk"/>
    <n v="1364.99"/>
    <n v="1"/>
    <n v="70.650000000000006"/>
  </r>
  <r>
    <d v="2025-01-10T00:00:00"/>
    <x v="0"/>
    <x v="0"/>
    <x v="5"/>
    <x v="5"/>
    <x v="1"/>
    <x v="1"/>
    <s v="T-shirt"/>
    <n v="74.97"/>
    <n v="4"/>
    <n v="21.38"/>
  </r>
  <r>
    <d v="2025-01-11T00:00:00"/>
    <x v="0"/>
    <x v="0"/>
    <x v="6"/>
    <x v="1"/>
    <x v="0"/>
    <x v="0"/>
    <s v="Smartphone"/>
    <n v="1267.81"/>
    <n v="4"/>
    <n v="204.87"/>
  </r>
  <r>
    <d v="2025-01-12T00:00:00"/>
    <x v="0"/>
    <x v="0"/>
    <x v="7"/>
    <x v="1"/>
    <x v="0"/>
    <x v="0"/>
    <s v="Camera"/>
    <n v="1132.53"/>
    <n v="4"/>
    <n v="80.27"/>
  </r>
  <r>
    <d v="2025-01-12T00:00:00"/>
    <x v="0"/>
    <x v="0"/>
    <x v="8"/>
    <x v="4"/>
    <x v="1"/>
    <x v="1"/>
    <s v="Shoes"/>
    <n v="992.85"/>
    <n v="4"/>
    <n v="265.73"/>
  </r>
  <r>
    <d v="2025-01-12T00:00:00"/>
    <x v="0"/>
    <x v="0"/>
    <x v="9"/>
    <x v="6"/>
    <x v="0"/>
    <x v="0"/>
    <s v="Camera"/>
    <n v="792.61"/>
    <n v="1"/>
    <n v="172.23"/>
  </r>
  <r>
    <d v="2025-01-15T00:00:00"/>
    <x v="0"/>
    <x v="0"/>
    <x v="10"/>
    <x v="0"/>
    <x v="0"/>
    <x v="0"/>
    <s v="Headphones"/>
    <n v="123.43"/>
    <n v="1"/>
    <n v="8.07"/>
  </r>
  <r>
    <d v="2025-01-15T00:00:00"/>
    <x v="0"/>
    <x v="0"/>
    <x v="11"/>
    <x v="2"/>
    <x v="2"/>
    <x v="2"/>
    <s v="Couch"/>
    <n v="578.6"/>
    <n v="3"/>
    <n v="88.64"/>
  </r>
  <r>
    <d v="2025-01-17T00:00:00"/>
    <x v="0"/>
    <x v="0"/>
    <x v="12"/>
    <x v="7"/>
    <x v="1"/>
    <x v="1"/>
    <s v="Jacket"/>
    <n v="529.80999999999995"/>
    <n v="1"/>
    <n v="139.16999999999999"/>
  </r>
  <r>
    <d v="2025-01-17T00:00:00"/>
    <x v="0"/>
    <x v="0"/>
    <x v="13"/>
    <x v="7"/>
    <x v="1"/>
    <x v="1"/>
    <s v="T-shirt"/>
    <n v="356"/>
    <n v="1"/>
    <n v="52.64"/>
  </r>
  <r>
    <d v="2025-01-17T00:00:00"/>
    <x v="0"/>
    <x v="0"/>
    <x v="14"/>
    <x v="7"/>
    <x v="2"/>
    <x v="2"/>
    <s v="Office Chair"/>
    <n v="1227.99"/>
    <n v="4"/>
    <n v="164.51"/>
  </r>
  <r>
    <d v="2025-01-17T00:00:00"/>
    <x v="0"/>
    <x v="0"/>
    <x v="15"/>
    <x v="0"/>
    <x v="2"/>
    <x v="2"/>
    <s v="Desk"/>
    <n v="676.93"/>
    <n v="4"/>
    <n v="61.94"/>
  </r>
  <r>
    <d v="2025-01-18T00:00:00"/>
    <x v="0"/>
    <x v="0"/>
    <x v="16"/>
    <x v="8"/>
    <x v="0"/>
    <x v="0"/>
    <s v="Smartphone"/>
    <n v="182.61"/>
    <n v="2"/>
    <n v="38.07"/>
  </r>
  <r>
    <d v="2025-01-19T00:00:00"/>
    <x v="0"/>
    <x v="0"/>
    <x v="17"/>
    <x v="9"/>
    <x v="1"/>
    <x v="1"/>
    <s v="T-shirt"/>
    <n v="59.96"/>
    <n v="2"/>
    <n v="14.43"/>
  </r>
  <r>
    <d v="2025-01-19T00:00:00"/>
    <x v="0"/>
    <x v="0"/>
    <x v="18"/>
    <x v="1"/>
    <x v="0"/>
    <x v="0"/>
    <s v="Laptop"/>
    <n v="1023.88"/>
    <n v="2"/>
    <n v="174.04"/>
  </r>
  <r>
    <d v="2025-01-19T00:00:00"/>
    <x v="0"/>
    <x v="0"/>
    <x v="19"/>
    <x v="4"/>
    <x v="2"/>
    <x v="2"/>
    <s v="Dining Table"/>
    <n v="483.12"/>
    <n v="3"/>
    <n v="72.31"/>
  </r>
  <r>
    <d v="2025-01-20T00:00:00"/>
    <x v="0"/>
    <x v="0"/>
    <x v="20"/>
    <x v="5"/>
    <x v="1"/>
    <x v="1"/>
    <s v="Jacket"/>
    <n v="1087.9000000000001"/>
    <n v="2"/>
    <n v="199.25"/>
  </r>
  <r>
    <d v="2025-01-21T00:00:00"/>
    <x v="0"/>
    <x v="0"/>
    <x v="21"/>
    <x v="0"/>
    <x v="1"/>
    <x v="1"/>
    <s v="Jacket"/>
    <n v="605.79"/>
    <n v="4"/>
    <n v="177.76"/>
  </r>
  <r>
    <d v="2025-01-21T00:00:00"/>
    <x v="0"/>
    <x v="0"/>
    <x v="9"/>
    <x v="0"/>
    <x v="1"/>
    <x v="1"/>
    <s v="T-shirt"/>
    <n v="1263.76"/>
    <n v="3"/>
    <n v="329.76"/>
  </r>
  <r>
    <d v="2025-01-23T00:00:00"/>
    <x v="0"/>
    <x v="0"/>
    <x v="22"/>
    <x v="2"/>
    <x v="1"/>
    <x v="1"/>
    <s v="Shoes"/>
    <n v="1473.74"/>
    <n v="2"/>
    <n v="285.89999999999998"/>
  </r>
  <r>
    <d v="2025-01-23T00:00:00"/>
    <x v="0"/>
    <x v="0"/>
    <x v="23"/>
    <x v="7"/>
    <x v="0"/>
    <x v="0"/>
    <s v="Smartphone"/>
    <n v="1010.62"/>
    <n v="4"/>
    <n v="208.08"/>
  </r>
  <r>
    <d v="2025-01-23T00:00:00"/>
    <x v="0"/>
    <x v="0"/>
    <x v="24"/>
    <x v="9"/>
    <x v="1"/>
    <x v="1"/>
    <s v="Sweater"/>
    <n v="1164.23"/>
    <n v="3"/>
    <n v="112.11"/>
  </r>
  <r>
    <d v="2025-01-23T00:00:00"/>
    <x v="0"/>
    <x v="0"/>
    <x v="25"/>
    <x v="5"/>
    <x v="1"/>
    <x v="1"/>
    <s v="T-shirt"/>
    <n v="395.06"/>
    <n v="2"/>
    <n v="82.57"/>
  </r>
  <r>
    <d v="2025-01-24T00:00:00"/>
    <x v="0"/>
    <x v="0"/>
    <x v="26"/>
    <x v="5"/>
    <x v="1"/>
    <x v="1"/>
    <s v="T-shirt"/>
    <n v="1128.25"/>
    <n v="4"/>
    <n v="102.57"/>
  </r>
  <r>
    <d v="2025-01-24T00:00:00"/>
    <x v="0"/>
    <x v="0"/>
    <x v="27"/>
    <x v="7"/>
    <x v="1"/>
    <x v="1"/>
    <s v="Shoes"/>
    <n v="814.39"/>
    <n v="5"/>
    <n v="87.39"/>
  </r>
  <r>
    <d v="2025-01-24T00:00:00"/>
    <x v="0"/>
    <x v="0"/>
    <x v="28"/>
    <x v="0"/>
    <x v="2"/>
    <x v="2"/>
    <s v="Desk"/>
    <n v="646.96"/>
    <n v="3"/>
    <n v="143.44"/>
  </r>
  <r>
    <d v="2025-01-25T00:00:00"/>
    <x v="0"/>
    <x v="0"/>
    <x v="25"/>
    <x v="5"/>
    <x v="2"/>
    <x v="2"/>
    <s v="Couch"/>
    <n v="1221.22"/>
    <n v="5"/>
    <n v="365.34"/>
  </r>
  <r>
    <d v="2025-01-25T00:00:00"/>
    <x v="0"/>
    <x v="0"/>
    <x v="29"/>
    <x v="5"/>
    <x v="2"/>
    <x v="2"/>
    <s v="Office Chair"/>
    <n v="332.94"/>
    <n v="1"/>
    <n v="31.5"/>
  </r>
  <r>
    <d v="2025-01-27T00:00:00"/>
    <x v="0"/>
    <x v="0"/>
    <x v="30"/>
    <x v="3"/>
    <x v="0"/>
    <x v="0"/>
    <s v="Headphones"/>
    <n v="1296.02"/>
    <n v="4"/>
    <n v="172.01"/>
  </r>
  <r>
    <d v="2025-01-27T00:00:00"/>
    <x v="0"/>
    <x v="0"/>
    <x v="31"/>
    <x v="8"/>
    <x v="0"/>
    <x v="0"/>
    <s v="Headphones"/>
    <n v="773.21"/>
    <n v="5"/>
    <n v="47.91"/>
  </r>
  <r>
    <d v="2025-01-27T00:00:00"/>
    <x v="0"/>
    <x v="0"/>
    <x v="32"/>
    <x v="8"/>
    <x v="0"/>
    <x v="0"/>
    <s v="Camera"/>
    <n v="810.14"/>
    <n v="1"/>
    <n v="42.06"/>
  </r>
  <r>
    <d v="2025-01-28T00:00:00"/>
    <x v="0"/>
    <x v="0"/>
    <x v="33"/>
    <x v="0"/>
    <x v="1"/>
    <x v="1"/>
    <s v="Jeans"/>
    <n v="841.48"/>
    <n v="1"/>
    <n v="198.11"/>
  </r>
  <r>
    <d v="2025-01-30T00:00:00"/>
    <x v="0"/>
    <x v="0"/>
    <x v="34"/>
    <x v="5"/>
    <x v="2"/>
    <x v="2"/>
    <s v="Desk"/>
    <n v="1083.0999999999999"/>
    <n v="5"/>
    <n v="57.13"/>
  </r>
  <r>
    <d v="2025-01-31T00:00:00"/>
    <x v="0"/>
    <x v="0"/>
    <x v="35"/>
    <x v="4"/>
    <x v="1"/>
    <x v="1"/>
    <s v="T-shirt"/>
    <n v="1262.6600000000001"/>
    <n v="2"/>
    <n v="232.12"/>
  </r>
  <r>
    <d v="2025-01-31T00:00:00"/>
    <x v="0"/>
    <x v="0"/>
    <x v="9"/>
    <x v="7"/>
    <x v="1"/>
    <x v="1"/>
    <s v="Jacket"/>
    <n v="202.98"/>
    <n v="1"/>
    <n v="12.4"/>
  </r>
  <r>
    <d v="2025-02-03T00:00:00"/>
    <x v="0"/>
    <x v="1"/>
    <x v="36"/>
    <x v="4"/>
    <x v="2"/>
    <x v="2"/>
    <s v="Desk"/>
    <n v="351.8"/>
    <n v="4"/>
    <n v="24.43"/>
  </r>
  <r>
    <d v="2025-02-04T00:00:00"/>
    <x v="0"/>
    <x v="1"/>
    <x v="37"/>
    <x v="4"/>
    <x v="0"/>
    <x v="0"/>
    <s v="Smartphone"/>
    <n v="1118.8800000000001"/>
    <n v="3"/>
    <n v="219.12"/>
  </r>
  <r>
    <d v="2025-02-05T00:00:00"/>
    <x v="0"/>
    <x v="1"/>
    <x v="29"/>
    <x v="4"/>
    <x v="1"/>
    <x v="1"/>
    <s v="Jeans"/>
    <n v="951.44"/>
    <n v="5"/>
    <n v="69.38"/>
  </r>
  <r>
    <d v="2025-02-06T00:00:00"/>
    <x v="0"/>
    <x v="1"/>
    <x v="38"/>
    <x v="9"/>
    <x v="0"/>
    <x v="0"/>
    <s v="Laptop"/>
    <n v="739.24"/>
    <n v="3"/>
    <n v="219.49"/>
  </r>
  <r>
    <d v="2025-02-07T00:00:00"/>
    <x v="0"/>
    <x v="1"/>
    <x v="39"/>
    <x v="4"/>
    <x v="0"/>
    <x v="0"/>
    <s v="Laptop"/>
    <n v="1448.03"/>
    <n v="3"/>
    <n v="78.69"/>
  </r>
  <r>
    <d v="2025-02-08T00:00:00"/>
    <x v="0"/>
    <x v="1"/>
    <x v="11"/>
    <x v="9"/>
    <x v="0"/>
    <x v="0"/>
    <s v="Tablet"/>
    <n v="931.2"/>
    <n v="1"/>
    <n v="199.21"/>
  </r>
  <r>
    <d v="2025-02-09T00:00:00"/>
    <x v="0"/>
    <x v="1"/>
    <x v="40"/>
    <x v="5"/>
    <x v="2"/>
    <x v="2"/>
    <s v="Desk"/>
    <n v="209.37"/>
    <n v="5"/>
    <n v="11.47"/>
  </r>
  <r>
    <d v="2025-02-10T00:00:00"/>
    <x v="0"/>
    <x v="1"/>
    <x v="34"/>
    <x v="2"/>
    <x v="2"/>
    <x v="2"/>
    <s v="Desk"/>
    <n v="517.53"/>
    <n v="3"/>
    <n v="62.34"/>
  </r>
  <r>
    <d v="2025-02-11T00:00:00"/>
    <x v="0"/>
    <x v="1"/>
    <x v="4"/>
    <x v="1"/>
    <x v="2"/>
    <x v="2"/>
    <s v="Dining Table"/>
    <n v="1303.2"/>
    <n v="3"/>
    <n v="224.43"/>
  </r>
  <r>
    <d v="2025-02-12T00:00:00"/>
    <x v="0"/>
    <x v="1"/>
    <x v="30"/>
    <x v="1"/>
    <x v="2"/>
    <x v="2"/>
    <s v="Bookshelf"/>
    <n v="1062.3"/>
    <n v="5"/>
    <n v="189.44"/>
  </r>
  <r>
    <d v="2025-02-12T00:00:00"/>
    <x v="0"/>
    <x v="1"/>
    <x v="41"/>
    <x v="8"/>
    <x v="0"/>
    <x v="0"/>
    <s v="Tablet"/>
    <n v="348.63"/>
    <n v="2"/>
    <n v="68.599999999999994"/>
  </r>
  <r>
    <d v="2025-02-12T00:00:00"/>
    <x v="0"/>
    <x v="1"/>
    <x v="42"/>
    <x v="1"/>
    <x v="0"/>
    <x v="0"/>
    <s v="Laptop"/>
    <n v="155.37"/>
    <n v="3"/>
    <n v="33.049999999999997"/>
  </r>
  <r>
    <d v="2025-02-14T00:00:00"/>
    <x v="0"/>
    <x v="1"/>
    <x v="43"/>
    <x v="4"/>
    <x v="1"/>
    <x v="1"/>
    <s v="Jacket"/>
    <n v="250.22"/>
    <n v="2"/>
    <n v="51.57"/>
  </r>
  <r>
    <d v="2025-02-15T00:00:00"/>
    <x v="0"/>
    <x v="1"/>
    <x v="44"/>
    <x v="6"/>
    <x v="2"/>
    <x v="2"/>
    <s v="Desk"/>
    <n v="831.87"/>
    <n v="5"/>
    <n v="47.08"/>
  </r>
  <r>
    <d v="2025-02-15T00:00:00"/>
    <x v="0"/>
    <x v="1"/>
    <x v="22"/>
    <x v="6"/>
    <x v="1"/>
    <x v="1"/>
    <s v="Sweater"/>
    <n v="1324.57"/>
    <n v="5"/>
    <n v="302.68"/>
  </r>
  <r>
    <d v="2025-02-16T00:00:00"/>
    <x v="0"/>
    <x v="1"/>
    <x v="45"/>
    <x v="2"/>
    <x v="1"/>
    <x v="1"/>
    <s v="Jacket"/>
    <n v="1356.55"/>
    <n v="2"/>
    <n v="124.47"/>
  </r>
  <r>
    <d v="2025-02-17T00:00:00"/>
    <x v="0"/>
    <x v="1"/>
    <x v="46"/>
    <x v="0"/>
    <x v="0"/>
    <x v="0"/>
    <s v="Smartphone"/>
    <n v="454.67"/>
    <n v="3"/>
    <n v="58.19"/>
  </r>
  <r>
    <d v="2025-02-18T00:00:00"/>
    <x v="0"/>
    <x v="1"/>
    <x v="47"/>
    <x v="6"/>
    <x v="0"/>
    <x v="0"/>
    <s v="Smartphone"/>
    <n v="463.32"/>
    <n v="5"/>
    <n v="73.2"/>
  </r>
  <r>
    <d v="2025-02-18T00:00:00"/>
    <x v="0"/>
    <x v="1"/>
    <x v="28"/>
    <x v="3"/>
    <x v="1"/>
    <x v="1"/>
    <s v="Sweater"/>
    <n v="1196.8399999999999"/>
    <n v="1"/>
    <n v="60.21"/>
  </r>
  <r>
    <d v="2025-02-20T00:00:00"/>
    <x v="0"/>
    <x v="1"/>
    <x v="21"/>
    <x v="4"/>
    <x v="2"/>
    <x v="2"/>
    <s v="Desk"/>
    <n v="733.56"/>
    <n v="3"/>
    <n v="156.24"/>
  </r>
  <r>
    <d v="2025-02-20T00:00:00"/>
    <x v="0"/>
    <x v="1"/>
    <x v="48"/>
    <x v="7"/>
    <x v="2"/>
    <x v="2"/>
    <s v="Office Chair"/>
    <n v="1481.8"/>
    <n v="3"/>
    <n v="295.27"/>
  </r>
  <r>
    <d v="2025-02-20T00:00:00"/>
    <x v="0"/>
    <x v="1"/>
    <x v="49"/>
    <x v="0"/>
    <x v="2"/>
    <x v="2"/>
    <s v="Dining Table"/>
    <n v="1031.0899999999999"/>
    <n v="4"/>
    <n v="262.36"/>
  </r>
  <r>
    <d v="2025-02-20T00:00:00"/>
    <x v="0"/>
    <x v="1"/>
    <x v="3"/>
    <x v="8"/>
    <x v="1"/>
    <x v="1"/>
    <s v="Jeans"/>
    <n v="561.38"/>
    <n v="4"/>
    <n v="83.22"/>
  </r>
  <r>
    <d v="2025-02-21T00:00:00"/>
    <x v="0"/>
    <x v="1"/>
    <x v="50"/>
    <x v="3"/>
    <x v="0"/>
    <x v="0"/>
    <s v="Camera"/>
    <n v="615.52"/>
    <n v="2"/>
    <n v="32.78"/>
  </r>
  <r>
    <d v="2025-02-22T00:00:00"/>
    <x v="0"/>
    <x v="1"/>
    <x v="35"/>
    <x v="1"/>
    <x v="0"/>
    <x v="0"/>
    <s v="Smartphone"/>
    <n v="806.15"/>
    <n v="4"/>
    <n v="206.87"/>
  </r>
  <r>
    <d v="2025-02-24T00:00:00"/>
    <x v="0"/>
    <x v="1"/>
    <x v="51"/>
    <x v="3"/>
    <x v="1"/>
    <x v="1"/>
    <s v="Shoes"/>
    <n v="562.26"/>
    <n v="4"/>
    <n v="61.38"/>
  </r>
  <r>
    <d v="2025-02-25T00:00:00"/>
    <x v="0"/>
    <x v="1"/>
    <x v="5"/>
    <x v="3"/>
    <x v="1"/>
    <x v="1"/>
    <s v="Jeans"/>
    <n v="528.9"/>
    <n v="1"/>
    <n v="130.06"/>
  </r>
  <r>
    <d v="2025-02-28T00:00:00"/>
    <x v="0"/>
    <x v="1"/>
    <x v="8"/>
    <x v="6"/>
    <x v="1"/>
    <x v="1"/>
    <s v="Jeans"/>
    <n v="388.7"/>
    <n v="2"/>
    <n v="104.69"/>
  </r>
  <r>
    <d v="2025-03-01T00:00:00"/>
    <x v="0"/>
    <x v="2"/>
    <x v="20"/>
    <x v="5"/>
    <x v="1"/>
    <x v="1"/>
    <s v="Shoes"/>
    <n v="1131.04"/>
    <n v="1"/>
    <n v="88.64"/>
  </r>
  <r>
    <d v="2025-03-01T00:00:00"/>
    <x v="0"/>
    <x v="2"/>
    <x v="52"/>
    <x v="4"/>
    <x v="0"/>
    <x v="0"/>
    <s v="Camera"/>
    <n v="1456.41"/>
    <n v="4"/>
    <n v="429.68"/>
  </r>
  <r>
    <d v="2025-03-03T00:00:00"/>
    <x v="0"/>
    <x v="2"/>
    <x v="53"/>
    <x v="1"/>
    <x v="2"/>
    <x v="2"/>
    <s v="Desk"/>
    <n v="55.45"/>
    <n v="4"/>
    <n v="3.31"/>
  </r>
  <r>
    <d v="2025-03-04T00:00:00"/>
    <x v="0"/>
    <x v="2"/>
    <x v="23"/>
    <x v="9"/>
    <x v="1"/>
    <x v="1"/>
    <s v="Jacket"/>
    <n v="585.83000000000004"/>
    <n v="5"/>
    <n v="143.63999999999999"/>
  </r>
  <r>
    <d v="2025-03-04T00:00:00"/>
    <x v="0"/>
    <x v="2"/>
    <x v="54"/>
    <x v="3"/>
    <x v="0"/>
    <x v="0"/>
    <s v="Tablet"/>
    <n v="981.81"/>
    <n v="2"/>
    <n v="115.75"/>
  </r>
  <r>
    <d v="2025-03-05T00:00:00"/>
    <x v="0"/>
    <x v="2"/>
    <x v="55"/>
    <x v="2"/>
    <x v="0"/>
    <x v="0"/>
    <s v="Laptop"/>
    <n v="921.07"/>
    <n v="4"/>
    <n v="182.59"/>
  </r>
  <r>
    <d v="2025-03-05T00:00:00"/>
    <x v="0"/>
    <x v="2"/>
    <x v="56"/>
    <x v="4"/>
    <x v="0"/>
    <x v="0"/>
    <s v="Headphones"/>
    <n v="461.66"/>
    <n v="2"/>
    <n v="62.52"/>
  </r>
  <r>
    <d v="2025-03-05T00:00:00"/>
    <x v="0"/>
    <x v="2"/>
    <x v="41"/>
    <x v="7"/>
    <x v="0"/>
    <x v="0"/>
    <s v="Camera"/>
    <n v="1476.32"/>
    <n v="5"/>
    <n v="341.47"/>
  </r>
  <r>
    <d v="2025-03-05T00:00:00"/>
    <x v="0"/>
    <x v="2"/>
    <x v="7"/>
    <x v="5"/>
    <x v="0"/>
    <x v="0"/>
    <s v="Headphones"/>
    <n v="1081.8399999999999"/>
    <n v="2"/>
    <n v="110.82"/>
  </r>
  <r>
    <d v="2025-03-06T00:00:00"/>
    <x v="0"/>
    <x v="2"/>
    <x v="57"/>
    <x v="7"/>
    <x v="1"/>
    <x v="1"/>
    <s v="Jeans"/>
    <n v="995.83"/>
    <n v="2"/>
    <n v="142.97999999999999"/>
  </r>
  <r>
    <d v="2025-03-07T00:00:00"/>
    <x v="0"/>
    <x v="2"/>
    <x v="4"/>
    <x v="0"/>
    <x v="1"/>
    <x v="1"/>
    <s v="Jeans"/>
    <n v="1308.5899999999999"/>
    <n v="5"/>
    <n v="211.32"/>
  </r>
  <r>
    <d v="2025-03-08T00:00:00"/>
    <x v="0"/>
    <x v="2"/>
    <x v="58"/>
    <x v="4"/>
    <x v="1"/>
    <x v="1"/>
    <s v="T-shirt"/>
    <n v="407.08"/>
    <n v="3"/>
    <n v="81.150000000000006"/>
  </r>
  <r>
    <d v="2025-03-08T00:00:00"/>
    <x v="0"/>
    <x v="2"/>
    <x v="23"/>
    <x v="0"/>
    <x v="1"/>
    <x v="1"/>
    <s v="T-shirt"/>
    <n v="1184.79"/>
    <n v="5"/>
    <n v="325.48"/>
  </r>
  <r>
    <d v="2025-03-09T00:00:00"/>
    <x v="0"/>
    <x v="2"/>
    <x v="49"/>
    <x v="0"/>
    <x v="1"/>
    <x v="1"/>
    <s v="Shoes"/>
    <n v="1097.1099999999999"/>
    <n v="3"/>
    <n v="208.79"/>
  </r>
  <r>
    <d v="2025-03-09T00:00:00"/>
    <x v="0"/>
    <x v="2"/>
    <x v="59"/>
    <x v="9"/>
    <x v="2"/>
    <x v="2"/>
    <s v="Dining Table"/>
    <n v="1327.47"/>
    <n v="1"/>
    <n v="329.79"/>
  </r>
  <r>
    <d v="2025-03-09T00:00:00"/>
    <x v="0"/>
    <x v="2"/>
    <x v="18"/>
    <x v="0"/>
    <x v="2"/>
    <x v="2"/>
    <s v="Couch"/>
    <n v="1160.3"/>
    <n v="2"/>
    <n v="76.930000000000007"/>
  </r>
  <r>
    <d v="2025-03-10T00:00:00"/>
    <x v="0"/>
    <x v="2"/>
    <x v="60"/>
    <x v="5"/>
    <x v="0"/>
    <x v="0"/>
    <s v="Tablet"/>
    <n v="664.07"/>
    <n v="2"/>
    <n v="37.409999999999997"/>
  </r>
  <r>
    <d v="2025-03-10T00:00:00"/>
    <x v="0"/>
    <x v="2"/>
    <x v="56"/>
    <x v="1"/>
    <x v="0"/>
    <x v="0"/>
    <s v="Camera"/>
    <n v="963.01"/>
    <n v="4"/>
    <n v="73.239999999999995"/>
  </r>
  <r>
    <d v="2025-03-11T00:00:00"/>
    <x v="0"/>
    <x v="2"/>
    <x v="61"/>
    <x v="5"/>
    <x v="1"/>
    <x v="1"/>
    <s v="Jacket"/>
    <n v="861.7"/>
    <n v="3"/>
    <n v="223.74"/>
  </r>
  <r>
    <d v="2025-03-12T00:00:00"/>
    <x v="0"/>
    <x v="2"/>
    <x v="62"/>
    <x v="7"/>
    <x v="0"/>
    <x v="0"/>
    <s v="Smartphone"/>
    <n v="1420.5"/>
    <n v="3"/>
    <n v="80.06"/>
  </r>
  <r>
    <d v="2025-03-13T00:00:00"/>
    <x v="0"/>
    <x v="2"/>
    <x v="63"/>
    <x v="7"/>
    <x v="0"/>
    <x v="0"/>
    <s v="Laptop"/>
    <n v="1155.69"/>
    <n v="4"/>
    <n v="190.44"/>
  </r>
  <r>
    <d v="2025-03-13T00:00:00"/>
    <x v="0"/>
    <x v="2"/>
    <x v="28"/>
    <x v="4"/>
    <x v="1"/>
    <x v="1"/>
    <s v="Jeans"/>
    <n v="1436.41"/>
    <n v="2"/>
    <n v="302"/>
  </r>
  <r>
    <d v="2025-03-16T00:00:00"/>
    <x v="0"/>
    <x v="2"/>
    <x v="0"/>
    <x v="7"/>
    <x v="2"/>
    <x v="2"/>
    <s v="Couch"/>
    <n v="875.22"/>
    <n v="1"/>
    <n v="188.94"/>
  </r>
  <r>
    <d v="2025-03-16T00:00:00"/>
    <x v="0"/>
    <x v="2"/>
    <x v="42"/>
    <x v="8"/>
    <x v="0"/>
    <x v="0"/>
    <s v="Smartphone"/>
    <n v="1425.85"/>
    <n v="1"/>
    <n v="137.29"/>
  </r>
  <r>
    <d v="2025-03-17T00:00:00"/>
    <x v="0"/>
    <x v="2"/>
    <x v="5"/>
    <x v="7"/>
    <x v="1"/>
    <x v="1"/>
    <s v="Shoes"/>
    <n v="1455.17"/>
    <n v="4"/>
    <n v="414.2"/>
  </r>
  <r>
    <d v="2025-03-17T00:00:00"/>
    <x v="0"/>
    <x v="2"/>
    <x v="45"/>
    <x v="9"/>
    <x v="0"/>
    <x v="0"/>
    <s v="Tablet"/>
    <n v="1061.69"/>
    <n v="4"/>
    <n v="235.7"/>
  </r>
  <r>
    <d v="2025-03-18T00:00:00"/>
    <x v="0"/>
    <x v="2"/>
    <x v="64"/>
    <x v="3"/>
    <x v="2"/>
    <x v="2"/>
    <s v="Office Chair"/>
    <n v="788.5"/>
    <n v="4"/>
    <n v="75.19"/>
  </r>
  <r>
    <d v="2025-03-18T00:00:00"/>
    <x v="0"/>
    <x v="2"/>
    <x v="21"/>
    <x v="2"/>
    <x v="2"/>
    <x v="2"/>
    <s v="Office Chair"/>
    <n v="1424.18"/>
    <n v="2"/>
    <n v="420.48"/>
  </r>
  <r>
    <d v="2025-03-20T00:00:00"/>
    <x v="0"/>
    <x v="2"/>
    <x v="65"/>
    <x v="0"/>
    <x v="2"/>
    <x v="2"/>
    <s v="Desk"/>
    <n v="204.76"/>
    <n v="4"/>
    <n v="30.96"/>
  </r>
  <r>
    <d v="2025-03-20T00:00:00"/>
    <x v="0"/>
    <x v="2"/>
    <x v="24"/>
    <x v="1"/>
    <x v="1"/>
    <x v="1"/>
    <s v="Sweater"/>
    <n v="1317.09"/>
    <n v="2"/>
    <n v="285.74"/>
  </r>
  <r>
    <d v="2025-03-21T00:00:00"/>
    <x v="0"/>
    <x v="2"/>
    <x v="66"/>
    <x v="4"/>
    <x v="0"/>
    <x v="0"/>
    <s v="Laptop"/>
    <n v="1433.04"/>
    <n v="2"/>
    <n v="330.1"/>
  </r>
  <r>
    <d v="2025-03-22T00:00:00"/>
    <x v="0"/>
    <x v="2"/>
    <x v="30"/>
    <x v="7"/>
    <x v="1"/>
    <x v="1"/>
    <s v="Shoes"/>
    <n v="737.48"/>
    <n v="4"/>
    <n v="196.29"/>
  </r>
  <r>
    <d v="2025-03-23T00:00:00"/>
    <x v="0"/>
    <x v="2"/>
    <x v="67"/>
    <x v="3"/>
    <x v="1"/>
    <x v="1"/>
    <s v="Shoes"/>
    <n v="223.88"/>
    <n v="2"/>
    <n v="22.49"/>
  </r>
  <r>
    <d v="2025-03-24T00:00:00"/>
    <x v="0"/>
    <x v="2"/>
    <x v="37"/>
    <x v="8"/>
    <x v="0"/>
    <x v="0"/>
    <s v="Headphones"/>
    <n v="363.5"/>
    <n v="5"/>
    <n v="34.43"/>
  </r>
  <r>
    <d v="2025-03-24T00:00:00"/>
    <x v="0"/>
    <x v="2"/>
    <x v="23"/>
    <x v="8"/>
    <x v="1"/>
    <x v="1"/>
    <s v="Sweater"/>
    <n v="873.11"/>
    <n v="1"/>
    <n v="137.72999999999999"/>
  </r>
  <r>
    <d v="2025-03-25T00:00:00"/>
    <x v="0"/>
    <x v="2"/>
    <x v="50"/>
    <x v="6"/>
    <x v="0"/>
    <x v="0"/>
    <s v="Laptop"/>
    <n v="257.66000000000003"/>
    <n v="1"/>
    <n v="57.7"/>
  </r>
  <r>
    <d v="2025-03-26T00:00:00"/>
    <x v="0"/>
    <x v="2"/>
    <x v="51"/>
    <x v="7"/>
    <x v="0"/>
    <x v="0"/>
    <s v="Laptop"/>
    <n v="630.79"/>
    <n v="5"/>
    <n v="128.27000000000001"/>
  </r>
  <r>
    <d v="2025-03-26T00:00:00"/>
    <x v="0"/>
    <x v="2"/>
    <x v="30"/>
    <x v="8"/>
    <x v="1"/>
    <x v="1"/>
    <s v="T-shirt"/>
    <n v="695.58"/>
    <n v="3"/>
    <n v="58.92"/>
  </r>
  <r>
    <d v="2025-03-26T00:00:00"/>
    <x v="0"/>
    <x v="2"/>
    <x v="54"/>
    <x v="2"/>
    <x v="2"/>
    <x v="2"/>
    <s v="Dining Table"/>
    <n v="1121.43"/>
    <n v="2"/>
    <n v="254.48"/>
  </r>
  <r>
    <d v="2025-03-26T00:00:00"/>
    <x v="0"/>
    <x v="2"/>
    <x v="53"/>
    <x v="2"/>
    <x v="1"/>
    <x v="1"/>
    <s v="Shoes"/>
    <n v="1471.3"/>
    <n v="2"/>
    <n v="236.68"/>
  </r>
  <r>
    <d v="2025-03-26T00:00:00"/>
    <x v="0"/>
    <x v="2"/>
    <x v="4"/>
    <x v="7"/>
    <x v="1"/>
    <x v="1"/>
    <s v="Shoes"/>
    <n v="770.54"/>
    <n v="5"/>
    <n v="216.98"/>
  </r>
  <r>
    <d v="2025-03-27T00:00:00"/>
    <x v="0"/>
    <x v="2"/>
    <x v="35"/>
    <x v="8"/>
    <x v="1"/>
    <x v="1"/>
    <s v="T-shirt"/>
    <n v="1114.27"/>
    <n v="4"/>
    <n v="290.22000000000003"/>
  </r>
  <r>
    <d v="2025-03-28T00:00:00"/>
    <x v="0"/>
    <x v="2"/>
    <x v="30"/>
    <x v="2"/>
    <x v="0"/>
    <x v="0"/>
    <s v="Headphones"/>
    <n v="200.09"/>
    <n v="1"/>
    <n v="26.88"/>
  </r>
  <r>
    <d v="2025-03-28T00:00:00"/>
    <x v="0"/>
    <x v="2"/>
    <x v="68"/>
    <x v="9"/>
    <x v="0"/>
    <x v="0"/>
    <s v="Camera"/>
    <n v="1038.1099999999999"/>
    <n v="1"/>
    <n v="96.15"/>
  </r>
  <r>
    <d v="2025-03-29T00:00:00"/>
    <x v="0"/>
    <x v="2"/>
    <x v="37"/>
    <x v="4"/>
    <x v="0"/>
    <x v="0"/>
    <s v="Laptop"/>
    <n v="140.91999999999999"/>
    <n v="5"/>
    <n v="7.14"/>
  </r>
  <r>
    <d v="2025-03-30T00:00:00"/>
    <x v="0"/>
    <x v="2"/>
    <x v="16"/>
    <x v="2"/>
    <x v="1"/>
    <x v="1"/>
    <s v="T-shirt"/>
    <n v="855.3"/>
    <n v="2"/>
    <n v="239"/>
  </r>
  <r>
    <d v="2025-03-31T00:00:00"/>
    <x v="0"/>
    <x v="2"/>
    <x v="39"/>
    <x v="0"/>
    <x v="1"/>
    <x v="1"/>
    <s v="Jacket"/>
    <n v="380.6"/>
    <n v="3"/>
    <n v="29.61"/>
  </r>
  <r>
    <d v="2025-03-31T00:00:00"/>
    <x v="0"/>
    <x v="2"/>
    <x v="69"/>
    <x v="5"/>
    <x v="1"/>
    <x v="1"/>
    <s v="Jacket"/>
    <n v="235.84"/>
    <n v="4"/>
    <n v="49.31"/>
  </r>
  <r>
    <d v="2025-04-04T00:00:00"/>
    <x v="0"/>
    <x v="3"/>
    <x v="27"/>
    <x v="2"/>
    <x v="1"/>
    <x v="1"/>
    <s v="Jacket"/>
    <n v="1494.54"/>
    <n v="4"/>
    <n v="218.72"/>
  </r>
  <r>
    <d v="2025-04-04T00:00:00"/>
    <x v="0"/>
    <x v="3"/>
    <x v="70"/>
    <x v="4"/>
    <x v="0"/>
    <x v="0"/>
    <s v="Smartphone"/>
    <n v="701.26"/>
    <n v="1"/>
    <n v="201.09"/>
  </r>
  <r>
    <d v="2025-04-04T00:00:00"/>
    <x v="0"/>
    <x v="3"/>
    <x v="69"/>
    <x v="2"/>
    <x v="1"/>
    <x v="1"/>
    <s v="Jeans"/>
    <n v="255.59"/>
    <n v="5"/>
    <n v="53.12"/>
  </r>
  <r>
    <d v="2025-04-05T00:00:00"/>
    <x v="0"/>
    <x v="3"/>
    <x v="32"/>
    <x v="7"/>
    <x v="1"/>
    <x v="1"/>
    <s v="Jeans"/>
    <n v="327.52999999999997"/>
    <n v="1"/>
    <n v="69.739999999999995"/>
  </r>
  <r>
    <d v="2025-04-06T00:00:00"/>
    <x v="0"/>
    <x v="3"/>
    <x v="6"/>
    <x v="2"/>
    <x v="0"/>
    <x v="0"/>
    <s v="Camera"/>
    <n v="174.84"/>
    <n v="4"/>
    <n v="28.72"/>
  </r>
  <r>
    <d v="2025-04-06T00:00:00"/>
    <x v="0"/>
    <x v="3"/>
    <x v="69"/>
    <x v="4"/>
    <x v="1"/>
    <x v="1"/>
    <s v="T-shirt"/>
    <n v="997.31"/>
    <n v="1"/>
    <n v="147.37"/>
  </r>
  <r>
    <d v="2025-04-07T00:00:00"/>
    <x v="0"/>
    <x v="3"/>
    <x v="2"/>
    <x v="5"/>
    <x v="2"/>
    <x v="2"/>
    <s v="Office Chair"/>
    <n v="1190.8599999999999"/>
    <n v="3"/>
    <n v="119.48"/>
  </r>
  <r>
    <d v="2025-04-07T00:00:00"/>
    <x v="0"/>
    <x v="3"/>
    <x v="67"/>
    <x v="1"/>
    <x v="2"/>
    <x v="2"/>
    <s v="Bookshelf"/>
    <n v="536.66"/>
    <n v="4"/>
    <n v="31.93"/>
  </r>
  <r>
    <d v="2025-04-08T00:00:00"/>
    <x v="0"/>
    <x v="3"/>
    <x v="26"/>
    <x v="8"/>
    <x v="1"/>
    <x v="1"/>
    <s v="Shoes"/>
    <n v="1138.02"/>
    <n v="4"/>
    <n v="278.77"/>
  </r>
  <r>
    <d v="2025-04-12T00:00:00"/>
    <x v="0"/>
    <x v="3"/>
    <x v="0"/>
    <x v="3"/>
    <x v="2"/>
    <x v="2"/>
    <s v="Desk"/>
    <n v="95.76"/>
    <n v="2"/>
    <n v="15.36"/>
  </r>
  <r>
    <d v="2025-04-12T00:00:00"/>
    <x v="0"/>
    <x v="3"/>
    <x v="69"/>
    <x v="9"/>
    <x v="0"/>
    <x v="0"/>
    <s v="Camera"/>
    <n v="1063.79"/>
    <n v="2"/>
    <n v="258.3"/>
  </r>
  <r>
    <d v="2025-04-12T00:00:00"/>
    <x v="0"/>
    <x v="3"/>
    <x v="7"/>
    <x v="9"/>
    <x v="0"/>
    <x v="0"/>
    <s v="Headphones"/>
    <n v="543.12"/>
    <n v="2"/>
    <n v="159.88"/>
  </r>
  <r>
    <d v="2025-04-14T00:00:00"/>
    <x v="0"/>
    <x v="3"/>
    <x v="39"/>
    <x v="6"/>
    <x v="0"/>
    <x v="0"/>
    <s v="Laptop"/>
    <n v="853.01"/>
    <n v="3"/>
    <n v="233.42"/>
  </r>
  <r>
    <d v="2025-04-16T00:00:00"/>
    <x v="0"/>
    <x v="3"/>
    <x v="57"/>
    <x v="3"/>
    <x v="2"/>
    <x v="2"/>
    <s v="Office Chair"/>
    <n v="33.79"/>
    <n v="2"/>
    <n v="7.47"/>
  </r>
  <r>
    <d v="2025-04-16T00:00:00"/>
    <x v="0"/>
    <x v="3"/>
    <x v="27"/>
    <x v="5"/>
    <x v="0"/>
    <x v="0"/>
    <s v="Laptop"/>
    <n v="519.39"/>
    <n v="4"/>
    <n v="49.28"/>
  </r>
  <r>
    <d v="2025-04-17T00:00:00"/>
    <x v="0"/>
    <x v="3"/>
    <x v="18"/>
    <x v="4"/>
    <x v="0"/>
    <x v="0"/>
    <s v="Camera"/>
    <n v="361.18"/>
    <n v="2"/>
    <n v="100.03"/>
  </r>
  <r>
    <d v="2025-04-19T00:00:00"/>
    <x v="0"/>
    <x v="3"/>
    <x v="9"/>
    <x v="8"/>
    <x v="2"/>
    <x v="2"/>
    <s v="Office Chair"/>
    <n v="1010.83"/>
    <n v="2"/>
    <n v="141.05000000000001"/>
  </r>
  <r>
    <d v="2025-04-19T00:00:00"/>
    <x v="0"/>
    <x v="3"/>
    <x v="8"/>
    <x v="7"/>
    <x v="1"/>
    <x v="1"/>
    <s v="Sweater"/>
    <n v="1229.92"/>
    <n v="5"/>
    <n v="68.540000000000006"/>
  </r>
  <r>
    <d v="2025-04-20T00:00:00"/>
    <x v="0"/>
    <x v="3"/>
    <x v="5"/>
    <x v="4"/>
    <x v="0"/>
    <x v="0"/>
    <s v="Tablet"/>
    <n v="1459.44"/>
    <n v="3"/>
    <n v="348.06"/>
  </r>
  <r>
    <d v="2025-04-21T00:00:00"/>
    <x v="0"/>
    <x v="3"/>
    <x v="19"/>
    <x v="2"/>
    <x v="0"/>
    <x v="0"/>
    <s v="Smartphone"/>
    <n v="464.08"/>
    <n v="1"/>
    <n v="55.87"/>
  </r>
  <r>
    <d v="2025-04-22T00:00:00"/>
    <x v="0"/>
    <x v="3"/>
    <x v="43"/>
    <x v="1"/>
    <x v="0"/>
    <x v="0"/>
    <s v="Headphones"/>
    <n v="181.11"/>
    <n v="2"/>
    <n v="43.82"/>
  </r>
  <r>
    <d v="2025-04-23T00:00:00"/>
    <x v="0"/>
    <x v="3"/>
    <x v="71"/>
    <x v="2"/>
    <x v="0"/>
    <x v="0"/>
    <s v="Headphones"/>
    <n v="767.22"/>
    <n v="5"/>
    <n v="203"/>
  </r>
  <r>
    <d v="2025-04-23T00:00:00"/>
    <x v="0"/>
    <x v="3"/>
    <x v="72"/>
    <x v="3"/>
    <x v="1"/>
    <x v="1"/>
    <s v="Jeans"/>
    <n v="773.02"/>
    <n v="3"/>
    <n v="106.03"/>
  </r>
  <r>
    <d v="2025-04-23T00:00:00"/>
    <x v="0"/>
    <x v="3"/>
    <x v="34"/>
    <x v="3"/>
    <x v="0"/>
    <x v="0"/>
    <s v="Camera"/>
    <n v="1109.47"/>
    <n v="5"/>
    <n v="225.14"/>
  </r>
  <r>
    <d v="2025-04-23T00:00:00"/>
    <x v="0"/>
    <x v="3"/>
    <x v="18"/>
    <x v="2"/>
    <x v="2"/>
    <x v="2"/>
    <s v="Dining Table"/>
    <n v="96.19"/>
    <n v="1"/>
    <n v="17.27"/>
  </r>
  <r>
    <d v="2025-04-24T00:00:00"/>
    <x v="0"/>
    <x v="3"/>
    <x v="32"/>
    <x v="8"/>
    <x v="2"/>
    <x v="2"/>
    <s v="Bookshelf"/>
    <n v="1049.49"/>
    <n v="5"/>
    <n v="91.06"/>
  </r>
  <r>
    <d v="2025-04-25T00:00:00"/>
    <x v="0"/>
    <x v="3"/>
    <x v="59"/>
    <x v="7"/>
    <x v="2"/>
    <x v="2"/>
    <s v="Bookshelf"/>
    <n v="892.6"/>
    <n v="5"/>
    <n v="91.64"/>
  </r>
  <r>
    <d v="2025-04-26T00:00:00"/>
    <x v="0"/>
    <x v="3"/>
    <x v="73"/>
    <x v="3"/>
    <x v="1"/>
    <x v="1"/>
    <s v="Sweater"/>
    <n v="892.7"/>
    <n v="3"/>
    <n v="236.55"/>
  </r>
  <r>
    <d v="2025-04-26T00:00:00"/>
    <x v="0"/>
    <x v="3"/>
    <x v="36"/>
    <x v="9"/>
    <x v="0"/>
    <x v="0"/>
    <s v="Tablet"/>
    <n v="1352.73"/>
    <n v="1"/>
    <n v="377.16"/>
  </r>
  <r>
    <d v="2025-04-26T00:00:00"/>
    <x v="0"/>
    <x v="3"/>
    <x v="59"/>
    <x v="1"/>
    <x v="0"/>
    <x v="0"/>
    <s v="Tablet"/>
    <n v="365.65"/>
    <n v="5"/>
    <n v="80.459999999999994"/>
  </r>
  <r>
    <d v="2025-04-27T00:00:00"/>
    <x v="0"/>
    <x v="3"/>
    <x v="74"/>
    <x v="2"/>
    <x v="0"/>
    <x v="0"/>
    <s v="Tablet"/>
    <n v="1364.89"/>
    <n v="4"/>
    <n v="130.43"/>
  </r>
  <r>
    <d v="2025-04-27T00:00:00"/>
    <x v="0"/>
    <x v="3"/>
    <x v="33"/>
    <x v="3"/>
    <x v="1"/>
    <x v="1"/>
    <s v="Jeans"/>
    <n v="801.09"/>
    <n v="2"/>
    <n v="237.45"/>
  </r>
  <r>
    <d v="2025-04-27T00:00:00"/>
    <x v="0"/>
    <x v="3"/>
    <x v="21"/>
    <x v="5"/>
    <x v="2"/>
    <x v="2"/>
    <s v="Bookshelf"/>
    <n v="968.5"/>
    <n v="1"/>
    <n v="244.84"/>
  </r>
  <r>
    <d v="2025-04-27T00:00:00"/>
    <x v="0"/>
    <x v="3"/>
    <x v="40"/>
    <x v="6"/>
    <x v="1"/>
    <x v="1"/>
    <s v="Jacket"/>
    <n v="1496.92"/>
    <n v="4"/>
    <n v="94.56"/>
  </r>
  <r>
    <d v="2025-04-27T00:00:00"/>
    <x v="0"/>
    <x v="3"/>
    <x v="48"/>
    <x v="1"/>
    <x v="1"/>
    <x v="1"/>
    <s v="Jacket"/>
    <n v="420.66"/>
    <n v="2"/>
    <n v="49.63"/>
  </r>
  <r>
    <d v="2025-04-30T00:00:00"/>
    <x v="0"/>
    <x v="3"/>
    <x v="70"/>
    <x v="7"/>
    <x v="0"/>
    <x v="0"/>
    <s v="Camera"/>
    <n v="49.53"/>
    <n v="5"/>
    <n v="13.33"/>
  </r>
  <r>
    <d v="2025-04-30T00:00:00"/>
    <x v="0"/>
    <x v="3"/>
    <x v="57"/>
    <x v="5"/>
    <x v="0"/>
    <x v="0"/>
    <s v="Headphones"/>
    <n v="1018"/>
    <n v="3"/>
    <n v="290.35000000000002"/>
  </r>
  <r>
    <d v="2025-04-30T00:00:00"/>
    <x v="0"/>
    <x v="3"/>
    <x v="75"/>
    <x v="2"/>
    <x v="2"/>
    <x v="2"/>
    <s v="Couch"/>
    <n v="1079.28"/>
    <n v="2"/>
    <n v="127.52"/>
  </r>
  <r>
    <d v="2025-05-02T00:00:00"/>
    <x v="0"/>
    <x v="4"/>
    <x v="11"/>
    <x v="8"/>
    <x v="1"/>
    <x v="1"/>
    <s v="Jacket"/>
    <n v="560.79"/>
    <n v="1"/>
    <n v="130.13"/>
  </r>
  <r>
    <d v="2025-05-02T00:00:00"/>
    <x v="0"/>
    <x v="4"/>
    <x v="71"/>
    <x v="1"/>
    <x v="0"/>
    <x v="0"/>
    <s v="Headphones"/>
    <n v="29.97"/>
    <n v="4"/>
    <n v="1.83"/>
  </r>
  <r>
    <d v="2025-05-03T00:00:00"/>
    <x v="0"/>
    <x v="4"/>
    <x v="7"/>
    <x v="2"/>
    <x v="0"/>
    <x v="0"/>
    <s v="Headphones"/>
    <n v="946.86"/>
    <n v="4"/>
    <n v="135.16999999999999"/>
  </r>
  <r>
    <d v="2025-05-03T00:00:00"/>
    <x v="0"/>
    <x v="4"/>
    <x v="2"/>
    <x v="3"/>
    <x v="2"/>
    <x v="2"/>
    <s v="Dining Table"/>
    <n v="376.64"/>
    <n v="4"/>
    <n v="76.069999999999993"/>
  </r>
  <r>
    <d v="2025-05-03T00:00:00"/>
    <x v="0"/>
    <x v="4"/>
    <x v="59"/>
    <x v="9"/>
    <x v="0"/>
    <x v="0"/>
    <s v="Headphones"/>
    <n v="770.06"/>
    <n v="3"/>
    <n v="50.99"/>
  </r>
  <r>
    <d v="2025-05-04T00:00:00"/>
    <x v="0"/>
    <x v="4"/>
    <x v="76"/>
    <x v="6"/>
    <x v="2"/>
    <x v="2"/>
    <s v="Dining Table"/>
    <n v="815.64"/>
    <n v="1"/>
    <n v="90.11"/>
  </r>
  <r>
    <d v="2025-05-05T00:00:00"/>
    <x v="0"/>
    <x v="4"/>
    <x v="77"/>
    <x v="1"/>
    <x v="1"/>
    <x v="1"/>
    <s v="Jeans"/>
    <n v="1201.1300000000001"/>
    <n v="4"/>
    <n v="350.64"/>
  </r>
  <r>
    <d v="2025-05-05T00:00:00"/>
    <x v="0"/>
    <x v="4"/>
    <x v="78"/>
    <x v="7"/>
    <x v="2"/>
    <x v="2"/>
    <s v="Couch"/>
    <n v="90.25"/>
    <n v="3"/>
    <n v="10.59"/>
  </r>
  <r>
    <d v="2025-05-06T00:00:00"/>
    <x v="0"/>
    <x v="4"/>
    <x v="55"/>
    <x v="6"/>
    <x v="0"/>
    <x v="0"/>
    <s v="Headphones"/>
    <n v="549.73"/>
    <n v="2"/>
    <n v="50.2"/>
  </r>
  <r>
    <d v="2025-05-07T00:00:00"/>
    <x v="0"/>
    <x v="4"/>
    <x v="14"/>
    <x v="5"/>
    <x v="1"/>
    <x v="1"/>
    <s v="Sweater"/>
    <n v="496.71"/>
    <n v="5"/>
    <n v="58.56"/>
  </r>
  <r>
    <d v="2025-05-07T00:00:00"/>
    <x v="0"/>
    <x v="4"/>
    <x v="60"/>
    <x v="6"/>
    <x v="2"/>
    <x v="2"/>
    <s v="Bookshelf"/>
    <n v="528.24"/>
    <n v="2"/>
    <n v="98.22"/>
  </r>
  <r>
    <d v="2025-05-07T00:00:00"/>
    <x v="0"/>
    <x v="4"/>
    <x v="24"/>
    <x v="6"/>
    <x v="1"/>
    <x v="1"/>
    <s v="Shoes"/>
    <n v="576.83000000000004"/>
    <n v="5"/>
    <n v="93.55"/>
  </r>
  <r>
    <d v="2025-05-08T00:00:00"/>
    <x v="0"/>
    <x v="4"/>
    <x v="79"/>
    <x v="3"/>
    <x v="1"/>
    <x v="1"/>
    <s v="Shoes"/>
    <n v="1062.6500000000001"/>
    <n v="1"/>
    <n v="301.85000000000002"/>
  </r>
  <r>
    <d v="2025-05-09T00:00:00"/>
    <x v="0"/>
    <x v="4"/>
    <x v="74"/>
    <x v="4"/>
    <x v="0"/>
    <x v="0"/>
    <s v="Headphones"/>
    <n v="378.83"/>
    <n v="1"/>
    <n v="37.93"/>
  </r>
  <r>
    <d v="2025-05-09T00:00:00"/>
    <x v="0"/>
    <x v="4"/>
    <x v="30"/>
    <x v="2"/>
    <x v="1"/>
    <x v="1"/>
    <s v="T-shirt"/>
    <n v="356.64"/>
    <n v="4"/>
    <n v="45.14"/>
  </r>
  <r>
    <d v="2025-05-09T00:00:00"/>
    <x v="0"/>
    <x v="4"/>
    <x v="67"/>
    <x v="1"/>
    <x v="0"/>
    <x v="0"/>
    <s v="Smartphone"/>
    <n v="637.95000000000005"/>
    <n v="2"/>
    <n v="186"/>
  </r>
  <r>
    <d v="2025-05-10T00:00:00"/>
    <x v="0"/>
    <x v="4"/>
    <x v="60"/>
    <x v="6"/>
    <x v="2"/>
    <x v="2"/>
    <s v="Bookshelf"/>
    <n v="458.31"/>
    <n v="1"/>
    <n v="137.22999999999999"/>
  </r>
  <r>
    <d v="2025-05-10T00:00:00"/>
    <x v="0"/>
    <x v="4"/>
    <x v="53"/>
    <x v="0"/>
    <x v="2"/>
    <x v="2"/>
    <s v="Dining Table"/>
    <n v="527.65"/>
    <n v="3"/>
    <n v="102.85"/>
  </r>
  <r>
    <d v="2025-05-11T00:00:00"/>
    <x v="0"/>
    <x v="4"/>
    <x v="43"/>
    <x v="2"/>
    <x v="0"/>
    <x v="0"/>
    <s v="Camera"/>
    <n v="603.77"/>
    <n v="2"/>
    <n v="173.45"/>
  </r>
  <r>
    <d v="2025-05-11T00:00:00"/>
    <x v="0"/>
    <x v="4"/>
    <x v="80"/>
    <x v="3"/>
    <x v="2"/>
    <x v="2"/>
    <s v="Office Chair"/>
    <n v="628.08000000000004"/>
    <n v="1"/>
    <n v="33.549999999999997"/>
  </r>
  <r>
    <d v="2025-05-11T00:00:00"/>
    <x v="0"/>
    <x v="4"/>
    <x v="8"/>
    <x v="7"/>
    <x v="1"/>
    <x v="1"/>
    <s v="Jacket"/>
    <n v="1263.8800000000001"/>
    <n v="1"/>
    <n v="220.03"/>
  </r>
  <r>
    <d v="2025-05-13T00:00:00"/>
    <x v="0"/>
    <x v="4"/>
    <x v="44"/>
    <x v="2"/>
    <x v="1"/>
    <x v="1"/>
    <s v="Jeans"/>
    <n v="1268.74"/>
    <n v="4"/>
    <n v="113.04"/>
  </r>
  <r>
    <d v="2025-05-13T00:00:00"/>
    <x v="0"/>
    <x v="4"/>
    <x v="44"/>
    <x v="7"/>
    <x v="0"/>
    <x v="0"/>
    <s v="Camera"/>
    <n v="1258.8499999999999"/>
    <n v="4"/>
    <n v="246.36"/>
  </r>
  <r>
    <d v="2025-05-14T00:00:00"/>
    <x v="0"/>
    <x v="4"/>
    <x v="23"/>
    <x v="9"/>
    <x v="1"/>
    <x v="1"/>
    <s v="Shoes"/>
    <n v="163.93"/>
    <n v="3"/>
    <n v="9.9"/>
  </r>
  <r>
    <d v="2025-05-16T00:00:00"/>
    <x v="0"/>
    <x v="4"/>
    <x v="59"/>
    <x v="1"/>
    <x v="1"/>
    <x v="1"/>
    <s v="T-shirt"/>
    <n v="1189.6300000000001"/>
    <n v="1"/>
    <n v="221.13"/>
  </r>
  <r>
    <d v="2025-05-18T00:00:00"/>
    <x v="0"/>
    <x v="4"/>
    <x v="29"/>
    <x v="0"/>
    <x v="1"/>
    <x v="1"/>
    <s v="Jeans"/>
    <n v="582.29999999999995"/>
    <n v="1"/>
    <n v="56.26"/>
  </r>
  <r>
    <d v="2025-05-20T00:00:00"/>
    <x v="0"/>
    <x v="4"/>
    <x v="42"/>
    <x v="9"/>
    <x v="0"/>
    <x v="0"/>
    <s v="Laptop"/>
    <n v="1387.79"/>
    <n v="2"/>
    <n v="158.88"/>
  </r>
  <r>
    <d v="2025-05-20T00:00:00"/>
    <x v="0"/>
    <x v="4"/>
    <x v="45"/>
    <x v="6"/>
    <x v="1"/>
    <x v="1"/>
    <s v="Jeans"/>
    <n v="752.27"/>
    <n v="3"/>
    <n v="135.44"/>
  </r>
  <r>
    <d v="2025-05-20T00:00:00"/>
    <x v="0"/>
    <x v="4"/>
    <x v="3"/>
    <x v="6"/>
    <x v="2"/>
    <x v="2"/>
    <s v="Office Chair"/>
    <n v="726.91"/>
    <n v="3"/>
    <n v="203.69"/>
  </r>
  <r>
    <d v="2025-05-21T00:00:00"/>
    <x v="0"/>
    <x v="4"/>
    <x v="63"/>
    <x v="6"/>
    <x v="2"/>
    <x v="2"/>
    <s v="Bookshelf"/>
    <n v="1124.0999999999999"/>
    <n v="5"/>
    <n v="317.08999999999997"/>
  </r>
  <r>
    <d v="2025-05-22T00:00:00"/>
    <x v="0"/>
    <x v="4"/>
    <x v="9"/>
    <x v="9"/>
    <x v="1"/>
    <x v="1"/>
    <s v="Jacket"/>
    <n v="1197.23"/>
    <n v="4"/>
    <n v="69.599999999999994"/>
  </r>
  <r>
    <d v="2025-05-23T00:00:00"/>
    <x v="0"/>
    <x v="4"/>
    <x v="2"/>
    <x v="9"/>
    <x v="1"/>
    <x v="1"/>
    <s v="T-shirt"/>
    <n v="1262.27"/>
    <n v="1"/>
    <n v="337.11"/>
  </r>
  <r>
    <d v="2025-05-25T00:00:00"/>
    <x v="0"/>
    <x v="4"/>
    <x v="20"/>
    <x v="5"/>
    <x v="1"/>
    <x v="1"/>
    <s v="Jeans"/>
    <n v="242.43"/>
    <n v="3"/>
    <n v="39.96"/>
  </r>
  <r>
    <d v="2025-05-25T00:00:00"/>
    <x v="0"/>
    <x v="4"/>
    <x v="81"/>
    <x v="4"/>
    <x v="0"/>
    <x v="0"/>
    <s v="Tablet"/>
    <n v="1326.73"/>
    <n v="2"/>
    <n v="215.19"/>
  </r>
  <r>
    <d v="2025-05-25T00:00:00"/>
    <x v="0"/>
    <x v="4"/>
    <x v="80"/>
    <x v="7"/>
    <x v="1"/>
    <x v="1"/>
    <s v="Shoes"/>
    <n v="1246.0899999999999"/>
    <n v="1"/>
    <n v="250.4"/>
  </r>
  <r>
    <d v="2025-05-26T00:00:00"/>
    <x v="0"/>
    <x v="4"/>
    <x v="81"/>
    <x v="4"/>
    <x v="0"/>
    <x v="0"/>
    <s v="Camera"/>
    <n v="894.45"/>
    <n v="4"/>
    <n v="124.13"/>
  </r>
  <r>
    <d v="2025-05-27T00:00:00"/>
    <x v="0"/>
    <x v="4"/>
    <x v="46"/>
    <x v="9"/>
    <x v="2"/>
    <x v="2"/>
    <s v="Desk"/>
    <n v="855.87"/>
    <n v="5"/>
    <n v="250.25"/>
  </r>
  <r>
    <d v="2025-05-27T00:00:00"/>
    <x v="0"/>
    <x v="4"/>
    <x v="42"/>
    <x v="4"/>
    <x v="0"/>
    <x v="0"/>
    <s v="Camera"/>
    <n v="414.31"/>
    <n v="5"/>
    <n v="81.489999999999995"/>
  </r>
  <r>
    <d v="2025-05-27T00:00:00"/>
    <x v="0"/>
    <x v="4"/>
    <x v="26"/>
    <x v="2"/>
    <x v="2"/>
    <x v="2"/>
    <s v="Dining Table"/>
    <n v="529.02"/>
    <n v="3"/>
    <n v="142.5"/>
  </r>
  <r>
    <d v="2025-05-27T00:00:00"/>
    <x v="0"/>
    <x v="4"/>
    <x v="26"/>
    <x v="4"/>
    <x v="0"/>
    <x v="0"/>
    <s v="Camera"/>
    <n v="1259.3399999999999"/>
    <n v="5"/>
    <n v="133.04"/>
  </r>
  <r>
    <d v="2025-05-27T00:00:00"/>
    <x v="0"/>
    <x v="4"/>
    <x v="52"/>
    <x v="6"/>
    <x v="2"/>
    <x v="2"/>
    <s v="Bookshelf"/>
    <n v="945.28"/>
    <n v="2"/>
    <n v="80.180000000000007"/>
  </r>
  <r>
    <d v="2025-05-27T00:00:00"/>
    <x v="0"/>
    <x v="4"/>
    <x v="67"/>
    <x v="5"/>
    <x v="0"/>
    <x v="0"/>
    <s v="Headphones"/>
    <n v="669.19"/>
    <n v="4"/>
    <n v="44.77"/>
  </r>
  <r>
    <d v="2025-05-28T00:00:00"/>
    <x v="0"/>
    <x v="4"/>
    <x v="6"/>
    <x v="7"/>
    <x v="2"/>
    <x v="2"/>
    <s v="Couch"/>
    <n v="1056.67"/>
    <n v="2"/>
    <n v="257.77999999999997"/>
  </r>
  <r>
    <d v="2025-05-29T00:00:00"/>
    <x v="0"/>
    <x v="4"/>
    <x v="19"/>
    <x v="8"/>
    <x v="1"/>
    <x v="1"/>
    <s v="Jeans"/>
    <n v="1142.33"/>
    <n v="2"/>
    <n v="270.58"/>
  </r>
  <r>
    <d v="2025-05-29T00:00:00"/>
    <x v="0"/>
    <x v="4"/>
    <x v="7"/>
    <x v="5"/>
    <x v="2"/>
    <x v="2"/>
    <s v="Couch"/>
    <n v="565.54"/>
    <n v="2"/>
    <n v="53.86"/>
  </r>
  <r>
    <d v="2025-06-01T00:00:00"/>
    <x v="0"/>
    <x v="5"/>
    <x v="6"/>
    <x v="1"/>
    <x v="1"/>
    <x v="1"/>
    <s v="Jacket"/>
    <n v="1446.39"/>
    <n v="4"/>
    <n v="108.23"/>
  </r>
  <r>
    <d v="2025-06-03T00:00:00"/>
    <x v="0"/>
    <x v="5"/>
    <x v="32"/>
    <x v="4"/>
    <x v="1"/>
    <x v="1"/>
    <s v="T-shirt"/>
    <n v="651.20000000000005"/>
    <n v="1"/>
    <n v="55.72"/>
  </r>
  <r>
    <d v="2025-06-04T00:00:00"/>
    <x v="0"/>
    <x v="5"/>
    <x v="45"/>
    <x v="5"/>
    <x v="2"/>
    <x v="2"/>
    <s v="Dining Table"/>
    <n v="862.72"/>
    <n v="4"/>
    <n v="227.11"/>
  </r>
  <r>
    <d v="2025-06-04T00:00:00"/>
    <x v="0"/>
    <x v="5"/>
    <x v="13"/>
    <x v="2"/>
    <x v="2"/>
    <x v="2"/>
    <s v="Bookshelf"/>
    <n v="731.75"/>
    <n v="3"/>
    <n v="200.28"/>
  </r>
  <r>
    <d v="2025-06-04T00:00:00"/>
    <x v="0"/>
    <x v="5"/>
    <x v="82"/>
    <x v="4"/>
    <x v="0"/>
    <x v="0"/>
    <s v="Headphones"/>
    <n v="157.78"/>
    <n v="2"/>
    <n v="33.83"/>
  </r>
  <r>
    <d v="2025-06-05T00:00:00"/>
    <x v="0"/>
    <x v="5"/>
    <x v="83"/>
    <x v="8"/>
    <x v="2"/>
    <x v="2"/>
    <s v="Dining Table"/>
    <n v="661.38"/>
    <n v="4"/>
    <n v="100.04"/>
  </r>
  <r>
    <d v="2025-06-05T00:00:00"/>
    <x v="0"/>
    <x v="5"/>
    <x v="68"/>
    <x v="9"/>
    <x v="0"/>
    <x v="0"/>
    <s v="Laptop"/>
    <n v="1469.53"/>
    <n v="5"/>
    <n v="313.81"/>
  </r>
  <r>
    <d v="2025-06-09T00:00:00"/>
    <x v="0"/>
    <x v="5"/>
    <x v="78"/>
    <x v="7"/>
    <x v="1"/>
    <x v="1"/>
    <s v="Jeans"/>
    <n v="448.13"/>
    <n v="3"/>
    <n v="73.19"/>
  </r>
  <r>
    <d v="2025-06-09T00:00:00"/>
    <x v="0"/>
    <x v="5"/>
    <x v="7"/>
    <x v="5"/>
    <x v="2"/>
    <x v="2"/>
    <s v="Dining Table"/>
    <n v="149.91"/>
    <n v="5"/>
    <n v="24.13"/>
  </r>
  <r>
    <d v="2025-06-10T00:00:00"/>
    <x v="0"/>
    <x v="5"/>
    <x v="20"/>
    <x v="6"/>
    <x v="0"/>
    <x v="0"/>
    <s v="Laptop"/>
    <n v="594.74"/>
    <n v="3"/>
    <n v="122.53"/>
  </r>
  <r>
    <d v="2025-06-13T00:00:00"/>
    <x v="0"/>
    <x v="5"/>
    <x v="27"/>
    <x v="6"/>
    <x v="2"/>
    <x v="2"/>
    <s v="Dining Table"/>
    <n v="766.13"/>
    <n v="2"/>
    <n v="93.28"/>
  </r>
  <r>
    <d v="2025-06-14T00:00:00"/>
    <x v="0"/>
    <x v="5"/>
    <x v="17"/>
    <x v="3"/>
    <x v="1"/>
    <x v="1"/>
    <s v="Sweater"/>
    <n v="810.72"/>
    <n v="3"/>
    <n v="227.6"/>
  </r>
  <r>
    <d v="2025-06-14T00:00:00"/>
    <x v="0"/>
    <x v="5"/>
    <x v="29"/>
    <x v="4"/>
    <x v="2"/>
    <x v="2"/>
    <s v="Bookshelf"/>
    <n v="650.6"/>
    <n v="3"/>
    <n v="45.15"/>
  </r>
  <r>
    <d v="2025-06-15T00:00:00"/>
    <x v="0"/>
    <x v="5"/>
    <x v="64"/>
    <x v="3"/>
    <x v="1"/>
    <x v="1"/>
    <s v="Shoes"/>
    <n v="934.26"/>
    <n v="2"/>
    <n v="234.74"/>
  </r>
  <r>
    <d v="2025-06-15T00:00:00"/>
    <x v="0"/>
    <x v="5"/>
    <x v="5"/>
    <x v="5"/>
    <x v="2"/>
    <x v="2"/>
    <s v="Office Chair"/>
    <n v="775.85"/>
    <n v="1"/>
    <n v="123.87"/>
  </r>
  <r>
    <d v="2025-06-15T00:00:00"/>
    <x v="0"/>
    <x v="5"/>
    <x v="77"/>
    <x v="7"/>
    <x v="1"/>
    <x v="1"/>
    <s v="T-shirt"/>
    <n v="916.64"/>
    <n v="4"/>
    <n v="225.04"/>
  </r>
  <r>
    <d v="2025-06-16T00:00:00"/>
    <x v="0"/>
    <x v="5"/>
    <x v="30"/>
    <x v="3"/>
    <x v="2"/>
    <x v="2"/>
    <s v="Office Chair"/>
    <n v="972.26"/>
    <n v="3"/>
    <n v="211.82"/>
  </r>
  <r>
    <d v="2025-06-17T00:00:00"/>
    <x v="0"/>
    <x v="5"/>
    <x v="84"/>
    <x v="6"/>
    <x v="2"/>
    <x v="2"/>
    <s v="Couch"/>
    <n v="547.85"/>
    <n v="4"/>
    <n v="137.97999999999999"/>
  </r>
  <r>
    <d v="2025-06-19T00:00:00"/>
    <x v="0"/>
    <x v="5"/>
    <x v="85"/>
    <x v="1"/>
    <x v="1"/>
    <x v="1"/>
    <s v="Sweater"/>
    <n v="872.51"/>
    <n v="3"/>
    <n v="145.19"/>
  </r>
  <r>
    <d v="2025-06-20T00:00:00"/>
    <x v="0"/>
    <x v="5"/>
    <x v="80"/>
    <x v="6"/>
    <x v="1"/>
    <x v="1"/>
    <s v="Shoes"/>
    <n v="719.96"/>
    <n v="1"/>
    <n v="46.7"/>
  </r>
  <r>
    <d v="2025-06-21T00:00:00"/>
    <x v="0"/>
    <x v="5"/>
    <x v="1"/>
    <x v="6"/>
    <x v="2"/>
    <x v="2"/>
    <s v="Office Chair"/>
    <n v="752.57"/>
    <n v="5"/>
    <n v="209.75"/>
  </r>
  <r>
    <d v="2025-06-21T00:00:00"/>
    <x v="0"/>
    <x v="5"/>
    <x v="19"/>
    <x v="6"/>
    <x v="0"/>
    <x v="0"/>
    <s v="Tablet"/>
    <n v="1346.81"/>
    <n v="3"/>
    <n v="398.49"/>
  </r>
  <r>
    <d v="2025-06-22T00:00:00"/>
    <x v="0"/>
    <x v="5"/>
    <x v="86"/>
    <x v="1"/>
    <x v="2"/>
    <x v="2"/>
    <s v="Dining Table"/>
    <n v="1360.64"/>
    <n v="3"/>
    <n v="252.69"/>
  </r>
  <r>
    <d v="2025-06-22T00:00:00"/>
    <x v="0"/>
    <x v="5"/>
    <x v="57"/>
    <x v="0"/>
    <x v="0"/>
    <x v="0"/>
    <s v="Laptop"/>
    <n v="1415.18"/>
    <n v="4"/>
    <n v="113.75"/>
  </r>
  <r>
    <d v="2025-06-22T00:00:00"/>
    <x v="0"/>
    <x v="5"/>
    <x v="35"/>
    <x v="1"/>
    <x v="0"/>
    <x v="0"/>
    <s v="Camera"/>
    <n v="801.32"/>
    <n v="4"/>
    <n v="156.30000000000001"/>
  </r>
  <r>
    <d v="2025-06-23T00:00:00"/>
    <x v="0"/>
    <x v="5"/>
    <x v="0"/>
    <x v="5"/>
    <x v="1"/>
    <x v="1"/>
    <s v="Jeans"/>
    <n v="886.51"/>
    <n v="1"/>
    <n v="84.35"/>
  </r>
  <r>
    <d v="2025-06-23T00:00:00"/>
    <x v="0"/>
    <x v="5"/>
    <x v="31"/>
    <x v="1"/>
    <x v="0"/>
    <x v="0"/>
    <s v="Tablet"/>
    <n v="978.99"/>
    <n v="2"/>
    <n v="147.65"/>
  </r>
  <r>
    <d v="2025-06-24T00:00:00"/>
    <x v="0"/>
    <x v="5"/>
    <x v="75"/>
    <x v="8"/>
    <x v="0"/>
    <x v="0"/>
    <s v="Laptop"/>
    <n v="139.51"/>
    <n v="2"/>
    <n v="26.43"/>
  </r>
  <r>
    <d v="2025-06-24T00:00:00"/>
    <x v="0"/>
    <x v="5"/>
    <x v="63"/>
    <x v="5"/>
    <x v="2"/>
    <x v="2"/>
    <s v="Couch"/>
    <n v="99.61"/>
    <n v="4"/>
    <n v="7.19"/>
  </r>
  <r>
    <d v="2025-06-26T00:00:00"/>
    <x v="0"/>
    <x v="5"/>
    <x v="3"/>
    <x v="3"/>
    <x v="0"/>
    <x v="0"/>
    <s v="Smartphone"/>
    <n v="451.45"/>
    <n v="5"/>
    <n v="30.99"/>
  </r>
  <r>
    <d v="2025-06-26T00:00:00"/>
    <x v="0"/>
    <x v="5"/>
    <x v="45"/>
    <x v="6"/>
    <x v="2"/>
    <x v="2"/>
    <s v="Office Chair"/>
    <n v="511.19"/>
    <n v="4"/>
    <n v="119.82"/>
  </r>
  <r>
    <d v="2025-06-26T00:00:00"/>
    <x v="0"/>
    <x v="5"/>
    <x v="1"/>
    <x v="7"/>
    <x v="2"/>
    <x v="2"/>
    <s v="Office Chair"/>
    <n v="269.10000000000002"/>
    <n v="2"/>
    <n v="48.12"/>
  </r>
  <r>
    <d v="2025-06-27T00:00:00"/>
    <x v="0"/>
    <x v="5"/>
    <x v="36"/>
    <x v="6"/>
    <x v="2"/>
    <x v="2"/>
    <s v="Couch"/>
    <n v="568.16999999999996"/>
    <n v="2"/>
    <n v="161"/>
  </r>
  <r>
    <d v="2025-06-27T00:00:00"/>
    <x v="0"/>
    <x v="5"/>
    <x v="54"/>
    <x v="1"/>
    <x v="2"/>
    <x v="2"/>
    <s v="Desk"/>
    <n v="732.2"/>
    <n v="5"/>
    <n v="62.41"/>
  </r>
  <r>
    <d v="2025-06-27T00:00:00"/>
    <x v="0"/>
    <x v="5"/>
    <x v="33"/>
    <x v="5"/>
    <x v="0"/>
    <x v="0"/>
    <s v="Smartphone"/>
    <n v="1069.22"/>
    <n v="3"/>
    <n v="88.84"/>
  </r>
  <r>
    <d v="2025-06-28T00:00:00"/>
    <x v="0"/>
    <x v="5"/>
    <x v="41"/>
    <x v="5"/>
    <x v="2"/>
    <x v="2"/>
    <s v="Dining Table"/>
    <n v="963.6"/>
    <n v="3"/>
    <n v="157.11000000000001"/>
  </r>
  <r>
    <d v="2025-06-28T00:00:00"/>
    <x v="0"/>
    <x v="5"/>
    <x v="32"/>
    <x v="5"/>
    <x v="2"/>
    <x v="2"/>
    <s v="Desk"/>
    <n v="292.64999999999998"/>
    <n v="5"/>
    <n v="30.38"/>
  </r>
  <r>
    <d v="2025-06-29T00:00:00"/>
    <x v="0"/>
    <x v="5"/>
    <x v="50"/>
    <x v="7"/>
    <x v="1"/>
    <x v="1"/>
    <s v="Jacket"/>
    <n v="1343.86"/>
    <n v="3"/>
    <n v="245.96"/>
  </r>
  <r>
    <d v="2025-06-30T00:00:00"/>
    <x v="0"/>
    <x v="5"/>
    <x v="6"/>
    <x v="9"/>
    <x v="1"/>
    <x v="1"/>
    <s v="Jacket"/>
    <n v="1159.19"/>
    <n v="5"/>
    <n v="326.39999999999998"/>
  </r>
  <r>
    <d v="2025-06-30T00:00:00"/>
    <x v="0"/>
    <x v="5"/>
    <x v="56"/>
    <x v="5"/>
    <x v="0"/>
    <x v="0"/>
    <s v="Tablet"/>
    <n v="250.89"/>
    <n v="2"/>
    <n v="53.52"/>
  </r>
  <r>
    <d v="2025-06-30T00:00:00"/>
    <x v="0"/>
    <x v="5"/>
    <x v="6"/>
    <x v="7"/>
    <x v="1"/>
    <x v="1"/>
    <s v="Shoes"/>
    <n v="229.7"/>
    <n v="1"/>
    <n v="36.409999999999997"/>
  </r>
  <r>
    <d v="2025-07-01T00:00:00"/>
    <x v="0"/>
    <x v="6"/>
    <x v="57"/>
    <x v="0"/>
    <x v="0"/>
    <x v="0"/>
    <s v="Headphones"/>
    <n v="46.63"/>
    <n v="3"/>
    <n v="11.91"/>
  </r>
  <r>
    <d v="2025-07-04T00:00:00"/>
    <x v="0"/>
    <x v="6"/>
    <x v="40"/>
    <x v="1"/>
    <x v="2"/>
    <x v="2"/>
    <s v="Couch"/>
    <n v="862.92"/>
    <n v="1"/>
    <n v="159.30000000000001"/>
  </r>
  <r>
    <d v="2025-07-04T00:00:00"/>
    <x v="0"/>
    <x v="6"/>
    <x v="27"/>
    <x v="5"/>
    <x v="1"/>
    <x v="1"/>
    <s v="Jacket"/>
    <n v="248.44"/>
    <n v="2"/>
    <n v="31.88"/>
  </r>
  <r>
    <d v="2025-07-05T00:00:00"/>
    <x v="0"/>
    <x v="6"/>
    <x v="38"/>
    <x v="4"/>
    <x v="0"/>
    <x v="0"/>
    <s v="Tablet"/>
    <n v="158.97999999999999"/>
    <n v="4"/>
    <n v="8.3800000000000008"/>
  </r>
  <r>
    <d v="2025-07-05T00:00:00"/>
    <x v="0"/>
    <x v="6"/>
    <x v="57"/>
    <x v="6"/>
    <x v="0"/>
    <x v="0"/>
    <s v="Tablet"/>
    <n v="1398.7"/>
    <n v="5"/>
    <n v="256.17"/>
  </r>
  <r>
    <d v="2025-07-05T00:00:00"/>
    <x v="0"/>
    <x v="6"/>
    <x v="77"/>
    <x v="1"/>
    <x v="1"/>
    <x v="1"/>
    <s v="Jacket"/>
    <n v="166.35"/>
    <n v="1"/>
    <n v="12.59"/>
  </r>
  <r>
    <d v="2025-07-05T00:00:00"/>
    <x v="0"/>
    <x v="6"/>
    <x v="87"/>
    <x v="8"/>
    <x v="0"/>
    <x v="0"/>
    <s v="Headphones"/>
    <n v="259.37"/>
    <n v="2"/>
    <n v="44.46"/>
  </r>
  <r>
    <d v="2025-07-07T00:00:00"/>
    <x v="0"/>
    <x v="6"/>
    <x v="6"/>
    <x v="5"/>
    <x v="2"/>
    <x v="2"/>
    <s v="Dining Table"/>
    <n v="1049.53"/>
    <n v="3"/>
    <n v="130.86000000000001"/>
  </r>
  <r>
    <d v="2025-07-09T00:00:00"/>
    <x v="0"/>
    <x v="6"/>
    <x v="19"/>
    <x v="0"/>
    <x v="1"/>
    <x v="1"/>
    <s v="T-shirt"/>
    <n v="1068.8900000000001"/>
    <n v="2"/>
    <n v="60.24"/>
  </r>
  <r>
    <d v="2025-07-09T00:00:00"/>
    <x v="0"/>
    <x v="6"/>
    <x v="88"/>
    <x v="3"/>
    <x v="1"/>
    <x v="1"/>
    <s v="T-shirt"/>
    <n v="986.37"/>
    <n v="1"/>
    <n v="255.73"/>
  </r>
  <r>
    <d v="2025-07-10T00:00:00"/>
    <x v="0"/>
    <x v="6"/>
    <x v="11"/>
    <x v="2"/>
    <x v="2"/>
    <x v="2"/>
    <s v="Desk"/>
    <n v="492.28"/>
    <n v="3"/>
    <n v="49.17"/>
  </r>
  <r>
    <d v="2025-07-10T00:00:00"/>
    <x v="0"/>
    <x v="6"/>
    <x v="49"/>
    <x v="5"/>
    <x v="0"/>
    <x v="0"/>
    <s v="Tablet"/>
    <n v="891"/>
    <n v="5"/>
    <n v="129.04"/>
  </r>
  <r>
    <d v="2025-07-10T00:00:00"/>
    <x v="0"/>
    <x v="6"/>
    <x v="44"/>
    <x v="4"/>
    <x v="1"/>
    <x v="1"/>
    <s v="Shoes"/>
    <n v="87.86"/>
    <n v="4"/>
    <n v="21.7"/>
  </r>
  <r>
    <d v="2025-07-11T00:00:00"/>
    <x v="0"/>
    <x v="6"/>
    <x v="35"/>
    <x v="1"/>
    <x v="1"/>
    <x v="1"/>
    <s v="Shoes"/>
    <n v="255.41"/>
    <n v="4"/>
    <n v="61.09"/>
  </r>
  <r>
    <d v="2025-07-12T00:00:00"/>
    <x v="0"/>
    <x v="6"/>
    <x v="67"/>
    <x v="3"/>
    <x v="1"/>
    <x v="1"/>
    <s v="Shoes"/>
    <n v="1322.5"/>
    <n v="2"/>
    <n v="220.02"/>
  </r>
  <r>
    <d v="2025-07-12T00:00:00"/>
    <x v="0"/>
    <x v="6"/>
    <x v="17"/>
    <x v="0"/>
    <x v="0"/>
    <x v="0"/>
    <s v="Camera"/>
    <n v="817.14"/>
    <n v="5"/>
    <n v="211.16"/>
  </r>
  <r>
    <d v="2025-07-13T00:00:00"/>
    <x v="0"/>
    <x v="6"/>
    <x v="9"/>
    <x v="5"/>
    <x v="0"/>
    <x v="0"/>
    <s v="Smartphone"/>
    <n v="464.12"/>
    <n v="3"/>
    <n v="71.64"/>
  </r>
  <r>
    <d v="2025-07-15T00:00:00"/>
    <x v="0"/>
    <x v="6"/>
    <x v="24"/>
    <x v="3"/>
    <x v="1"/>
    <x v="1"/>
    <s v="Jeans"/>
    <n v="1301.94"/>
    <n v="5"/>
    <n v="91.65"/>
  </r>
  <r>
    <d v="2025-07-18T00:00:00"/>
    <x v="0"/>
    <x v="6"/>
    <x v="88"/>
    <x v="8"/>
    <x v="0"/>
    <x v="0"/>
    <s v="Smartphone"/>
    <n v="306.08999999999997"/>
    <n v="3"/>
    <n v="30.52"/>
  </r>
  <r>
    <d v="2025-07-18T00:00:00"/>
    <x v="0"/>
    <x v="6"/>
    <x v="28"/>
    <x v="9"/>
    <x v="0"/>
    <x v="0"/>
    <s v="Headphones"/>
    <n v="1207.47"/>
    <n v="4"/>
    <n v="186.1"/>
  </r>
  <r>
    <d v="2025-07-18T00:00:00"/>
    <x v="0"/>
    <x v="6"/>
    <x v="8"/>
    <x v="6"/>
    <x v="2"/>
    <x v="2"/>
    <s v="Desk"/>
    <n v="622.45000000000005"/>
    <n v="5"/>
    <n v="84.82"/>
  </r>
  <r>
    <d v="2025-07-18T00:00:00"/>
    <x v="0"/>
    <x v="6"/>
    <x v="85"/>
    <x v="8"/>
    <x v="1"/>
    <x v="1"/>
    <s v="Sweater"/>
    <n v="189.64"/>
    <n v="2"/>
    <n v="51.44"/>
  </r>
  <r>
    <d v="2025-07-19T00:00:00"/>
    <x v="0"/>
    <x v="6"/>
    <x v="89"/>
    <x v="5"/>
    <x v="2"/>
    <x v="2"/>
    <s v="Dining Table"/>
    <n v="735.25"/>
    <n v="3"/>
    <n v="116.61"/>
  </r>
  <r>
    <d v="2025-07-19T00:00:00"/>
    <x v="0"/>
    <x v="6"/>
    <x v="19"/>
    <x v="3"/>
    <x v="2"/>
    <x v="2"/>
    <s v="Bookshelf"/>
    <n v="215.36"/>
    <n v="5"/>
    <n v="10.87"/>
  </r>
  <r>
    <d v="2025-07-19T00:00:00"/>
    <x v="0"/>
    <x v="6"/>
    <x v="63"/>
    <x v="9"/>
    <x v="1"/>
    <x v="1"/>
    <s v="Jacket"/>
    <n v="667.2"/>
    <n v="3"/>
    <n v="67.349999999999994"/>
  </r>
  <r>
    <d v="2025-07-20T00:00:00"/>
    <x v="0"/>
    <x v="6"/>
    <x v="42"/>
    <x v="1"/>
    <x v="1"/>
    <x v="1"/>
    <s v="Shoes"/>
    <n v="1140.96"/>
    <n v="5"/>
    <n v="254.51"/>
  </r>
  <r>
    <d v="2025-07-20T00:00:00"/>
    <x v="0"/>
    <x v="6"/>
    <x v="13"/>
    <x v="0"/>
    <x v="1"/>
    <x v="1"/>
    <s v="T-shirt"/>
    <n v="924.76"/>
    <n v="4"/>
    <n v="150.41999999999999"/>
  </r>
  <r>
    <d v="2025-07-20T00:00:00"/>
    <x v="0"/>
    <x v="6"/>
    <x v="23"/>
    <x v="5"/>
    <x v="1"/>
    <x v="1"/>
    <s v="Sweater"/>
    <n v="581.91"/>
    <n v="1"/>
    <n v="167.34"/>
  </r>
  <r>
    <d v="2025-07-27T00:00:00"/>
    <x v="0"/>
    <x v="6"/>
    <x v="78"/>
    <x v="6"/>
    <x v="1"/>
    <x v="1"/>
    <s v="T-shirt"/>
    <n v="462.88"/>
    <n v="4"/>
    <n v="131.72"/>
  </r>
  <r>
    <d v="2025-07-28T00:00:00"/>
    <x v="0"/>
    <x v="6"/>
    <x v="9"/>
    <x v="2"/>
    <x v="2"/>
    <x v="2"/>
    <s v="Office Chair"/>
    <n v="966.63"/>
    <n v="3"/>
    <n v="274.43"/>
  </r>
  <r>
    <d v="2025-07-28T00:00:00"/>
    <x v="0"/>
    <x v="6"/>
    <x v="90"/>
    <x v="5"/>
    <x v="2"/>
    <x v="2"/>
    <s v="Bookshelf"/>
    <n v="1185.01"/>
    <n v="1"/>
    <n v="151.6"/>
  </r>
  <r>
    <d v="2025-07-28T00:00:00"/>
    <x v="0"/>
    <x v="6"/>
    <x v="70"/>
    <x v="4"/>
    <x v="2"/>
    <x v="2"/>
    <s v="Bookshelf"/>
    <n v="773.56"/>
    <n v="1"/>
    <n v="143.41999999999999"/>
  </r>
  <r>
    <d v="2025-07-28T00:00:00"/>
    <x v="0"/>
    <x v="6"/>
    <x v="49"/>
    <x v="5"/>
    <x v="1"/>
    <x v="1"/>
    <s v="T-shirt"/>
    <n v="1096.47"/>
    <n v="1"/>
    <n v="73.290000000000006"/>
  </r>
  <r>
    <d v="2025-07-29T00:00:00"/>
    <x v="0"/>
    <x v="6"/>
    <x v="86"/>
    <x v="6"/>
    <x v="0"/>
    <x v="0"/>
    <s v="Headphones"/>
    <n v="1475.3"/>
    <n v="3"/>
    <n v="374.89"/>
  </r>
  <r>
    <d v="2025-07-30T00:00:00"/>
    <x v="0"/>
    <x v="6"/>
    <x v="27"/>
    <x v="6"/>
    <x v="1"/>
    <x v="1"/>
    <s v="T-shirt"/>
    <n v="1455.17"/>
    <n v="3"/>
    <n v="279.79000000000002"/>
  </r>
  <r>
    <d v="2025-07-31T00:00:00"/>
    <x v="0"/>
    <x v="6"/>
    <x v="62"/>
    <x v="8"/>
    <x v="1"/>
    <x v="1"/>
    <s v="Jacket"/>
    <n v="1201.68"/>
    <n v="5"/>
    <n v="247.84"/>
  </r>
  <r>
    <d v="2025-08-01T00:00:00"/>
    <x v="0"/>
    <x v="7"/>
    <x v="30"/>
    <x v="6"/>
    <x v="2"/>
    <x v="2"/>
    <s v="Desk"/>
    <n v="1202.8699999999999"/>
    <n v="2"/>
    <n v="72.53"/>
  </r>
  <r>
    <d v="2025-08-01T00:00:00"/>
    <x v="0"/>
    <x v="7"/>
    <x v="7"/>
    <x v="7"/>
    <x v="2"/>
    <x v="2"/>
    <s v="Dining Table"/>
    <n v="167.44"/>
    <n v="5"/>
    <n v="9.11"/>
  </r>
  <r>
    <d v="2025-08-02T00:00:00"/>
    <x v="0"/>
    <x v="7"/>
    <x v="74"/>
    <x v="9"/>
    <x v="2"/>
    <x v="2"/>
    <s v="Desk"/>
    <n v="1141.42"/>
    <n v="1"/>
    <n v="165.44"/>
  </r>
  <r>
    <d v="2025-08-02T00:00:00"/>
    <x v="0"/>
    <x v="7"/>
    <x v="44"/>
    <x v="8"/>
    <x v="2"/>
    <x v="2"/>
    <s v="Desk"/>
    <n v="490.1"/>
    <n v="4"/>
    <n v="60.38"/>
  </r>
  <r>
    <d v="2025-08-03T00:00:00"/>
    <x v="0"/>
    <x v="7"/>
    <x v="50"/>
    <x v="0"/>
    <x v="2"/>
    <x v="2"/>
    <s v="Dining Table"/>
    <n v="1098.99"/>
    <n v="1"/>
    <n v="111.27"/>
  </r>
  <r>
    <d v="2025-08-04T00:00:00"/>
    <x v="0"/>
    <x v="7"/>
    <x v="14"/>
    <x v="1"/>
    <x v="2"/>
    <x v="2"/>
    <s v="Desk"/>
    <n v="904.89"/>
    <n v="3"/>
    <n v="223.12"/>
  </r>
  <r>
    <d v="2025-08-04T00:00:00"/>
    <x v="0"/>
    <x v="7"/>
    <x v="31"/>
    <x v="6"/>
    <x v="1"/>
    <x v="1"/>
    <s v="Shoes"/>
    <n v="605.05999999999995"/>
    <n v="5"/>
    <n v="48.86"/>
  </r>
  <r>
    <d v="2025-08-05T00:00:00"/>
    <x v="0"/>
    <x v="7"/>
    <x v="14"/>
    <x v="0"/>
    <x v="2"/>
    <x v="2"/>
    <s v="Desk"/>
    <n v="476.15"/>
    <n v="5"/>
    <n v="110.83"/>
  </r>
  <r>
    <d v="2025-08-05T00:00:00"/>
    <x v="0"/>
    <x v="7"/>
    <x v="79"/>
    <x v="2"/>
    <x v="2"/>
    <x v="2"/>
    <s v="Bookshelf"/>
    <n v="274.87"/>
    <n v="4"/>
    <n v="56.21"/>
  </r>
  <r>
    <d v="2025-08-05T00:00:00"/>
    <x v="0"/>
    <x v="7"/>
    <x v="54"/>
    <x v="2"/>
    <x v="0"/>
    <x v="0"/>
    <s v="Headphones"/>
    <n v="1240.71"/>
    <n v="1"/>
    <n v="136.44"/>
  </r>
  <r>
    <d v="2025-08-07T00:00:00"/>
    <x v="0"/>
    <x v="7"/>
    <x v="80"/>
    <x v="6"/>
    <x v="1"/>
    <x v="1"/>
    <s v="Shoes"/>
    <n v="1091.92"/>
    <n v="2"/>
    <n v="286.52999999999997"/>
  </r>
  <r>
    <d v="2025-08-07T00:00:00"/>
    <x v="0"/>
    <x v="7"/>
    <x v="91"/>
    <x v="7"/>
    <x v="0"/>
    <x v="0"/>
    <s v="Camera"/>
    <n v="942.58"/>
    <n v="5"/>
    <n v="192.25"/>
  </r>
  <r>
    <d v="2025-08-07T00:00:00"/>
    <x v="0"/>
    <x v="7"/>
    <x v="10"/>
    <x v="9"/>
    <x v="0"/>
    <x v="0"/>
    <s v="Laptop"/>
    <n v="1230.69"/>
    <n v="4"/>
    <n v="164.67"/>
  </r>
  <r>
    <d v="2025-08-07T00:00:00"/>
    <x v="0"/>
    <x v="7"/>
    <x v="18"/>
    <x v="6"/>
    <x v="1"/>
    <x v="1"/>
    <s v="Jacket"/>
    <n v="771.8"/>
    <n v="1"/>
    <n v="108.49"/>
  </r>
  <r>
    <d v="2025-08-08T00:00:00"/>
    <x v="0"/>
    <x v="7"/>
    <x v="45"/>
    <x v="1"/>
    <x v="1"/>
    <x v="1"/>
    <s v="T-shirt"/>
    <n v="1441.99"/>
    <n v="1"/>
    <n v="273.01"/>
  </r>
  <r>
    <d v="2025-08-08T00:00:00"/>
    <x v="0"/>
    <x v="7"/>
    <x v="55"/>
    <x v="2"/>
    <x v="2"/>
    <x v="2"/>
    <s v="Bookshelf"/>
    <n v="1416.96"/>
    <n v="2"/>
    <n v="334.78"/>
  </r>
  <r>
    <d v="2025-08-08T00:00:00"/>
    <x v="0"/>
    <x v="7"/>
    <x v="86"/>
    <x v="8"/>
    <x v="2"/>
    <x v="2"/>
    <s v="Office Chair"/>
    <n v="239.3"/>
    <n v="3"/>
    <n v="25.39"/>
  </r>
  <r>
    <d v="2025-08-08T00:00:00"/>
    <x v="0"/>
    <x v="7"/>
    <x v="23"/>
    <x v="8"/>
    <x v="2"/>
    <x v="2"/>
    <s v="Couch"/>
    <n v="985.22"/>
    <n v="3"/>
    <n v="263.07"/>
  </r>
  <r>
    <d v="2025-08-10T00:00:00"/>
    <x v="0"/>
    <x v="7"/>
    <x v="70"/>
    <x v="7"/>
    <x v="2"/>
    <x v="2"/>
    <s v="Dining Table"/>
    <n v="265.8"/>
    <n v="5"/>
    <n v="14.51"/>
  </r>
  <r>
    <d v="2025-08-10T00:00:00"/>
    <x v="0"/>
    <x v="7"/>
    <x v="5"/>
    <x v="0"/>
    <x v="0"/>
    <x v="0"/>
    <s v="Headphones"/>
    <n v="1008.44"/>
    <n v="5"/>
    <n v="252.87"/>
  </r>
  <r>
    <d v="2025-08-13T00:00:00"/>
    <x v="0"/>
    <x v="7"/>
    <x v="80"/>
    <x v="6"/>
    <x v="2"/>
    <x v="2"/>
    <s v="Couch"/>
    <n v="726.82"/>
    <n v="3"/>
    <n v="64.55"/>
  </r>
  <r>
    <d v="2025-08-13T00:00:00"/>
    <x v="0"/>
    <x v="7"/>
    <x v="42"/>
    <x v="4"/>
    <x v="2"/>
    <x v="2"/>
    <s v="Dining Table"/>
    <n v="1102.28"/>
    <n v="3"/>
    <n v="106.93"/>
  </r>
  <r>
    <d v="2025-08-13T00:00:00"/>
    <x v="0"/>
    <x v="7"/>
    <x v="3"/>
    <x v="4"/>
    <x v="1"/>
    <x v="1"/>
    <s v="Jacket"/>
    <n v="902.05"/>
    <n v="2"/>
    <n v="76.42"/>
  </r>
  <r>
    <d v="2025-08-13T00:00:00"/>
    <x v="0"/>
    <x v="7"/>
    <x v="26"/>
    <x v="6"/>
    <x v="1"/>
    <x v="1"/>
    <s v="Jeans"/>
    <n v="27.44"/>
    <n v="4"/>
    <n v="3.4"/>
  </r>
  <r>
    <d v="2025-08-14T00:00:00"/>
    <x v="0"/>
    <x v="7"/>
    <x v="31"/>
    <x v="1"/>
    <x v="0"/>
    <x v="0"/>
    <s v="Camera"/>
    <n v="1365.19"/>
    <n v="5"/>
    <n v="286.19"/>
  </r>
  <r>
    <d v="2025-08-14T00:00:00"/>
    <x v="0"/>
    <x v="7"/>
    <x v="88"/>
    <x v="5"/>
    <x v="1"/>
    <x v="1"/>
    <s v="Jeans"/>
    <n v="258.62"/>
    <n v="5"/>
    <n v="54.68"/>
  </r>
  <r>
    <d v="2025-08-15T00:00:00"/>
    <x v="0"/>
    <x v="7"/>
    <x v="82"/>
    <x v="5"/>
    <x v="1"/>
    <x v="1"/>
    <s v="Jacket"/>
    <n v="1043.98"/>
    <n v="4"/>
    <n v="239.12"/>
  </r>
  <r>
    <d v="2025-08-16T00:00:00"/>
    <x v="0"/>
    <x v="7"/>
    <x v="15"/>
    <x v="9"/>
    <x v="1"/>
    <x v="1"/>
    <s v="Jeans"/>
    <n v="520.36"/>
    <n v="2"/>
    <n v="149.25"/>
  </r>
  <r>
    <d v="2025-08-16T00:00:00"/>
    <x v="0"/>
    <x v="7"/>
    <x v="23"/>
    <x v="9"/>
    <x v="1"/>
    <x v="1"/>
    <s v="Shoes"/>
    <n v="414.01"/>
    <n v="2"/>
    <n v="91.1"/>
  </r>
  <r>
    <d v="2025-08-17T00:00:00"/>
    <x v="0"/>
    <x v="7"/>
    <x v="27"/>
    <x v="0"/>
    <x v="2"/>
    <x v="2"/>
    <s v="Office Chair"/>
    <n v="641.67999999999995"/>
    <n v="5"/>
    <n v="59.04"/>
  </r>
  <r>
    <d v="2025-08-18T00:00:00"/>
    <x v="0"/>
    <x v="7"/>
    <x v="17"/>
    <x v="0"/>
    <x v="0"/>
    <x v="0"/>
    <s v="Smartphone"/>
    <n v="1060.3399999999999"/>
    <n v="2"/>
    <n v="174.87"/>
  </r>
  <r>
    <d v="2025-08-18T00:00:00"/>
    <x v="0"/>
    <x v="7"/>
    <x v="5"/>
    <x v="2"/>
    <x v="1"/>
    <x v="1"/>
    <s v="T-shirt"/>
    <n v="1464.23"/>
    <n v="2"/>
    <n v="77.03"/>
  </r>
  <r>
    <d v="2025-08-18T00:00:00"/>
    <x v="0"/>
    <x v="7"/>
    <x v="36"/>
    <x v="2"/>
    <x v="2"/>
    <x v="2"/>
    <s v="Office Chair"/>
    <n v="1160.07"/>
    <n v="2"/>
    <n v="270.43"/>
  </r>
  <r>
    <d v="2025-08-19T00:00:00"/>
    <x v="0"/>
    <x v="7"/>
    <x v="26"/>
    <x v="4"/>
    <x v="0"/>
    <x v="0"/>
    <s v="Headphones"/>
    <n v="1261.29"/>
    <n v="5"/>
    <n v="191.71"/>
  </r>
  <r>
    <d v="2025-08-19T00:00:00"/>
    <x v="0"/>
    <x v="7"/>
    <x v="39"/>
    <x v="0"/>
    <x v="2"/>
    <x v="2"/>
    <s v="Dining Table"/>
    <n v="544.49"/>
    <n v="2"/>
    <n v="72.61"/>
  </r>
  <r>
    <d v="2025-08-20T00:00:00"/>
    <x v="0"/>
    <x v="7"/>
    <x v="26"/>
    <x v="8"/>
    <x v="0"/>
    <x v="0"/>
    <s v="Headphones"/>
    <n v="1111.55"/>
    <n v="2"/>
    <n v="145.91999999999999"/>
  </r>
  <r>
    <d v="2025-08-22T00:00:00"/>
    <x v="0"/>
    <x v="7"/>
    <x v="21"/>
    <x v="2"/>
    <x v="1"/>
    <x v="1"/>
    <s v="T-shirt"/>
    <n v="1066.5"/>
    <n v="2"/>
    <n v="220.05"/>
  </r>
  <r>
    <d v="2025-08-22T00:00:00"/>
    <x v="0"/>
    <x v="7"/>
    <x v="52"/>
    <x v="1"/>
    <x v="0"/>
    <x v="0"/>
    <s v="Smartphone"/>
    <n v="410.75"/>
    <n v="1"/>
    <n v="20.84"/>
  </r>
  <r>
    <d v="2025-08-23T00:00:00"/>
    <x v="0"/>
    <x v="7"/>
    <x v="59"/>
    <x v="1"/>
    <x v="0"/>
    <x v="0"/>
    <s v="Smartphone"/>
    <n v="168.82"/>
    <n v="4"/>
    <n v="15.16"/>
  </r>
  <r>
    <d v="2025-08-25T00:00:00"/>
    <x v="0"/>
    <x v="7"/>
    <x v="61"/>
    <x v="1"/>
    <x v="1"/>
    <x v="1"/>
    <s v="T-shirt"/>
    <n v="482.21"/>
    <n v="2"/>
    <n v="91.23"/>
  </r>
  <r>
    <d v="2025-08-25T00:00:00"/>
    <x v="0"/>
    <x v="7"/>
    <x v="40"/>
    <x v="5"/>
    <x v="2"/>
    <x v="2"/>
    <s v="Couch"/>
    <n v="1467.07"/>
    <n v="5"/>
    <n v="89.18"/>
  </r>
  <r>
    <d v="2025-08-25T00:00:00"/>
    <x v="0"/>
    <x v="7"/>
    <x v="52"/>
    <x v="4"/>
    <x v="2"/>
    <x v="2"/>
    <s v="Bookshelf"/>
    <n v="1141.78"/>
    <n v="1"/>
    <n v="191.58"/>
  </r>
  <r>
    <d v="2025-08-25T00:00:00"/>
    <x v="0"/>
    <x v="7"/>
    <x v="92"/>
    <x v="7"/>
    <x v="1"/>
    <x v="1"/>
    <s v="T-shirt"/>
    <n v="1413.17"/>
    <n v="5"/>
    <n v="310.43"/>
  </r>
  <r>
    <d v="2025-08-26T00:00:00"/>
    <x v="0"/>
    <x v="7"/>
    <x v="55"/>
    <x v="8"/>
    <x v="2"/>
    <x v="2"/>
    <s v="Dining Table"/>
    <n v="448.75"/>
    <n v="4"/>
    <n v="131.77000000000001"/>
  </r>
  <r>
    <d v="2025-08-26T00:00:00"/>
    <x v="0"/>
    <x v="7"/>
    <x v="9"/>
    <x v="7"/>
    <x v="0"/>
    <x v="0"/>
    <s v="Laptop"/>
    <n v="662.03"/>
    <n v="5"/>
    <n v="79.34"/>
  </r>
  <r>
    <d v="2025-08-26T00:00:00"/>
    <x v="0"/>
    <x v="7"/>
    <x v="46"/>
    <x v="3"/>
    <x v="2"/>
    <x v="2"/>
    <s v="Couch"/>
    <n v="1164.2"/>
    <n v="1"/>
    <n v="337.57"/>
  </r>
  <r>
    <d v="2025-08-26T00:00:00"/>
    <x v="0"/>
    <x v="7"/>
    <x v="78"/>
    <x v="1"/>
    <x v="2"/>
    <x v="2"/>
    <s v="Dining Table"/>
    <n v="268.49"/>
    <n v="4"/>
    <n v="46.73"/>
  </r>
  <r>
    <d v="2025-08-27T00:00:00"/>
    <x v="0"/>
    <x v="7"/>
    <x v="80"/>
    <x v="0"/>
    <x v="2"/>
    <x v="2"/>
    <s v="Couch"/>
    <n v="1470.89"/>
    <n v="2"/>
    <n v="290.47000000000003"/>
  </r>
  <r>
    <d v="2025-08-27T00:00:00"/>
    <x v="0"/>
    <x v="7"/>
    <x v="81"/>
    <x v="5"/>
    <x v="1"/>
    <x v="1"/>
    <s v="Sweater"/>
    <n v="170.96"/>
    <n v="2"/>
    <n v="28.33"/>
  </r>
  <r>
    <d v="2025-08-28T00:00:00"/>
    <x v="0"/>
    <x v="7"/>
    <x v="69"/>
    <x v="0"/>
    <x v="1"/>
    <x v="1"/>
    <s v="Sweater"/>
    <n v="845.38"/>
    <n v="2"/>
    <n v="168.94"/>
  </r>
  <r>
    <d v="2025-08-29T00:00:00"/>
    <x v="0"/>
    <x v="7"/>
    <x v="41"/>
    <x v="9"/>
    <x v="1"/>
    <x v="1"/>
    <s v="Sweater"/>
    <n v="1258.3599999999999"/>
    <n v="5"/>
    <n v="324.23"/>
  </r>
  <r>
    <d v="2025-08-30T00:00:00"/>
    <x v="0"/>
    <x v="7"/>
    <x v="91"/>
    <x v="9"/>
    <x v="0"/>
    <x v="0"/>
    <s v="Laptop"/>
    <n v="1372.47"/>
    <n v="2"/>
    <n v="207.37"/>
  </r>
  <r>
    <d v="2025-08-31T00:00:00"/>
    <x v="0"/>
    <x v="7"/>
    <x v="55"/>
    <x v="2"/>
    <x v="0"/>
    <x v="0"/>
    <s v="Camera"/>
    <n v="238.95"/>
    <n v="3"/>
    <n v="62.41"/>
  </r>
  <r>
    <d v="2025-08-31T00:00:00"/>
    <x v="0"/>
    <x v="7"/>
    <x v="8"/>
    <x v="0"/>
    <x v="1"/>
    <x v="1"/>
    <s v="Sweater"/>
    <n v="1239.32"/>
    <n v="1"/>
    <n v="259.17"/>
  </r>
  <r>
    <d v="2025-09-01T00:00:00"/>
    <x v="0"/>
    <x v="8"/>
    <x v="21"/>
    <x v="2"/>
    <x v="1"/>
    <x v="1"/>
    <s v="Sweater"/>
    <n v="538.80999999999995"/>
    <n v="4"/>
    <n v="154.91999999999999"/>
  </r>
  <r>
    <d v="2025-09-01T00:00:00"/>
    <x v="0"/>
    <x v="8"/>
    <x v="67"/>
    <x v="5"/>
    <x v="1"/>
    <x v="1"/>
    <s v="Shoes"/>
    <n v="538.39"/>
    <n v="2"/>
    <n v="66.8"/>
  </r>
  <r>
    <d v="2025-09-02T00:00:00"/>
    <x v="0"/>
    <x v="8"/>
    <x v="51"/>
    <x v="4"/>
    <x v="0"/>
    <x v="0"/>
    <s v="Smartphone"/>
    <n v="893.48"/>
    <n v="5"/>
    <n v="65.11"/>
  </r>
  <r>
    <d v="2025-09-02T00:00:00"/>
    <x v="0"/>
    <x v="8"/>
    <x v="79"/>
    <x v="5"/>
    <x v="1"/>
    <x v="1"/>
    <s v="Shoes"/>
    <n v="60.94"/>
    <n v="2"/>
    <n v="4.92"/>
  </r>
  <r>
    <d v="2025-09-02T00:00:00"/>
    <x v="0"/>
    <x v="8"/>
    <x v="69"/>
    <x v="5"/>
    <x v="2"/>
    <x v="2"/>
    <s v="Couch"/>
    <n v="48.21"/>
    <n v="2"/>
    <n v="3.72"/>
  </r>
  <r>
    <d v="2025-09-02T00:00:00"/>
    <x v="0"/>
    <x v="8"/>
    <x v="0"/>
    <x v="1"/>
    <x v="0"/>
    <x v="0"/>
    <s v="Smartphone"/>
    <n v="897.67"/>
    <n v="1"/>
    <n v="117.45"/>
  </r>
  <r>
    <d v="2025-09-02T00:00:00"/>
    <x v="0"/>
    <x v="8"/>
    <x v="68"/>
    <x v="0"/>
    <x v="1"/>
    <x v="1"/>
    <s v="Jeans"/>
    <n v="1491.27"/>
    <n v="2"/>
    <n v="209.88"/>
  </r>
  <r>
    <d v="2025-09-02T00:00:00"/>
    <x v="0"/>
    <x v="8"/>
    <x v="77"/>
    <x v="9"/>
    <x v="2"/>
    <x v="2"/>
    <s v="Dining Table"/>
    <n v="877.81"/>
    <n v="4"/>
    <n v="78.27"/>
  </r>
  <r>
    <d v="2025-09-04T00:00:00"/>
    <x v="0"/>
    <x v="8"/>
    <x v="65"/>
    <x v="0"/>
    <x v="1"/>
    <x v="1"/>
    <s v="Shoes"/>
    <n v="365.51"/>
    <n v="5"/>
    <n v="85.89"/>
  </r>
  <r>
    <d v="2025-09-04T00:00:00"/>
    <x v="0"/>
    <x v="8"/>
    <x v="91"/>
    <x v="3"/>
    <x v="0"/>
    <x v="0"/>
    <s v="Tablet"/>
    <n v="336.63"/>
    <n v="4"/>
    <n v="79.47"/>
  </r>
  <r>
    <d v="2025-09-05T00:00:00"/>
    <x v="0"/>
    <x v="8"/>
    <x v="25"/>
    <x v="4"/>
    <x v="1"/>
    <x v="1"/>
    <s v="Sweater"/>
    <n v="1247.68"/>
    <n v="5"/>
    <n v="190.09"/>
  </r>
  <r>
    <d v="2025-09-05T00:00:00"/>
    <x v="0"/>
    <x v="8"/>
    <x v="59"/>
    <x v="2"/>
    <x v="1"/>
    <x v="1"/>
    <s v="Shoes"/>
    <n v="730.79"/>
    <n v="2"/>
    <n v="42.24"/>
  </r>
  <r>
    <d v="2025-09-06T00:00:00"/>
    <x v="0"/>
    <x v="8"/>
    <x v="91"/>
    <x v="0"/>
    <x v="1"/>
    <x v="1"/>
    <s v="T-shirt"/>
    <n v="426.85"/>
    <n v="5"/>
    <n v="108.18"/>
  </r>
  <r>
    <d v="2025-09-07T00:00:00"/>
    <x v="0"/>
    <x v="8"/>
    <x v="38"/>
    <x v="5"/>
    <x v="0"/>
    <x v="0"/>
    <s v="Laptop"/>
    <n v="447.3"/>
    <n v="1"/>
    <n v="66.760000000000005"/>
  </r>
  <r>
    <d v="2025-09-08T00:00:00"/>
    <x v="0"/>
    <x v="8"/>
    <x v="13"/>
    <x v="8"/>
    <x v="0"/>
    <x v="0"/>
    <s v="Camera"/>
    <n v="613.75"/>
    <n v="2"/>
    <n v="144.38"/>
  </r>
  <r>
    <d v="2025-09-09T00:00:00"/>
    <x v="0"/>
    <x v="8"/>
    <x v="82"/>
    <x v="5"/>
    <x v="1"/>
    <x v="1"/>
    <s v="T-shirt"/>
    <n v="924.98"/>
    <n v="5"/>
    <n v="152.49"/>
  </r>
  <r>
    <d v="2025-09-10T00:00:00"/>
    <x v="0"/>
    <x v="8"/>
    <x v="5"/>
    <x v="0"/>
    <x v="1"/>
    <x v="1"/>
    <s v="Sweater"/>
    <n v="207.79"/>
    <n v="2"/>
    <n v="37.21"/>
  </r>
  <r>
    <d v="2025-09-10T00:00:00"/>
    <x v="0"/>
    <x v="8"/>
    <x v="50"/>
    <x v="6"/>
    <x v="0"/>
    <x v="0"/>
    <s v="Laptop"/>
    <n v="716.61"/>
    <n v="1"/>
    <n v="49.29"/>
  </r>
  <r>
    <d v="2025-09-10T00:00:00"/>
    <x v="0"/>
    <x v="8"/>
    <x v="93"/>
    <x v="9"/>
    <x v="0"/>
    <x v="0"/>
    <s v="Camera"/>
    <n v="724.87"/>
    <n v="4"/>
    <n v="214.58"/>
  </r>
  <r>
    <d v="2025-09-16T00:00:00"/>
    <x v="0"/>
    <x v="8"/>
    <x v="10"/>
    <x v="2"/>
    <x v="0"/>
    <x v="0"/>
    <s v="Laptop"/>
    <n v="933.19"/>
    <n v="4"/>
    <n v="88.96"/>
  </r>
  <r>
    <d v="2025-09-17T00:00:00"/>
    <x v="0"/>
    <x v="8"/>
    <x v="85"/>
    <x v="1"/>
    <x v="0"/>
    <x v="0"/>
    <s v="Tablet"/>
    <n v="1014.71"/>
    <n v="2"/>
    <n v="270.94"/>
  </r>
  <r>
    <d v="2025-09-18T00:00:00"/>
    <x v="0"/>
    <x v="8"/>
    <x v="24"/>
    <x v="1"/>
    <x v="2"/>
    <x v="2"/>
    <s v="Bookshelf"/>
    <n v="859.39"/>
    <n v="2"/>
    <n v="175.1"/>
  </r>
  <r>
    <d v="2025-09-18T00:00:00"/>
    <x v="0"/>
    <x v="8"/>
    <x v="0"/>
    <x v="0"/>
    <x v="2"/>
    <x v="2"/>
    <s v="Bookshelf"/>
    <n v="1278.25"/>
    <n v="2"/>
    <n v="322.61"/>
  </r>
  <r>
    <d v="2025-09-18T00:00:00"/>
    <x v="0"/>
    <x v="8"/>
    <x v="94"/>
    <x v="9"/>
    <x v="0"/>
    <x v="0"/>
    <s v="Smartphone"/>
    <n v="789.85"/>
    <n v="5"/>
    <n v="84.4"/>
  </r>
  <r>
    <d v="2025-09-19T00:00:00"/>
    <x v="0"/>
    <x v="8"/>
    <x v="48"/>
    <x v="2"/>
    <x v="0"/>
    <x v="0"/>
    <s v="Camera"/>
    <n v="728.24"/>
    <n v="3"/>
    <n v="117.88"/>
  </r>
  <r>
    <d v="2025-09-20T00:00:00"/>
    <x v="0"/>
    <x v="8"/>
    <x v="59"/>
    <x v="9"/>
    <x v="2"/>
    <x v="2"/>
    <s v="Bookshelf"/>
    <n v="601.77"/>
    <n v="1"/>
    <n v="141.03"/>
  </r>
  <r>
    <d v="2025-09-21T00:00:00"/>
    <x v="0"/>
    <x v="8"/>
    <x v="40"/>
    <x v="0"/>
    <x v="2"/>
    <x v="2"/>
    <s v="Bookshelf"/>
    <n v="1108.8800000000001"/>
    <n v="1"/>
    <n v="218.19"/>
  </r>
  <r>
    <d v="2025-09-21T00:00:00"/>
    <x v="0"/>
    <x v="8"/>
    <x v="33"/>
    <x v="2"/>
    <x v="0"/>
    <x v="0"/>
    <s v="Tablet"/>
    <n v="682.57"/>
    <n v="5"/>
    <n v="152.5"/>
  </r>
  <r>
    <d v="2025-09-21T00:00:00"/>
    <x v="0"/>
    <x v="8"/>
    <x v="70"/>
    <x v="5"/>
    <x v="2"/>
    <x v="2"/>
    <s v="Desk"/>
    <n v="1351.12"/>
    <n v="5"/>
    <n v="192.67"/>
  </r>
  <r>
    <d v="2025-09-23T00:00:00"/>
    <x v="0"/>
    <x v="8"/>
    <x v="58"/>
    <x v="8"/>
    <x v="1"/>
    <x v="1"/>
    <s v="Jacket"/>
    <n v="354.3"/>
    <n v="3"/>
    <n v="62.49"/>
  </r>
  <r>
    <d v="2025-09-25T00:00:00"/>
    <x v="0"/>
    <x v="8"/>
    <x v="71"/>
    <x v="2"/>
    <x v="2"/>
    <x v="2"/>
    <s v="Bookshelf"/>
    <n v="372.33"/>
    <n v="3"/>
    <n v="108.22"/>
  </r>
  <r>
    <d v="2025-09-26T00:00:00"/>
    <x v="0"/>
    <x v="8"/>
    <x v="23"/>
    <x v="3"/>
    <x v="0"/>
    <x v="0"/>
    <s v="Headphones"/>
    <n v="35.57"/>
    <n v="2"/>
    <n v="6.15"/>
  </r>
  <r>
    <d v="2025-09-27T00:00:00"/>
    <x v="0"/>
    <x v="8"/>
    <x v="22"/>
    <x v="7"/>
    <x v="0"/>
    <x v="0"/>
    <s v="Headphones"/>
    <n v="320.68"/>
    <n v="1"/>
    <n v="25.36"/>
  </r>
  <r>
    <d v="2025-09-28T00:00:00"/>
    <x v="0"/>
    <x v="8"/>
    <x v="34"/>
    <x v="4"/>
    <x v="0"/>
    <x v="0"/>
    <s v="Camera"/>
    <n v="1477.41"/>
    <n v="4"/>
    <n v="119.91"/>
  </r>
  <r>
    <d v="2025-09-29T00:00:00"/>
    <x v="0"/>
    <x v="8"/>
    <x v="53"/>
    <x v="2"/>
    <x v="0"/>
    <x v="0"/>
    <s v="Smartphone"/>
    <n v="202.45"/>
    <n v="3"/>
    <n v="24.03"/>
  </r>
  <r>
    <d v="2025-10-02T00:00:00"/>
    <x v="0"/>
    <x v="9"/>
    <x v="8"/>
    <x v="0"/>
    <x v="2"/>
    <x v="2"/>
    <s v="Office Chair"/>
    <n v="869.59"/>
    <n v="1"/>
    <n v="85.92"/>
  </r>
  <r>
    <d v="2025-10-02T00:00:00"/>
    <x v="0"/>
    <x v="9"/>
    <x v="47"/>
    <x v="5"/>
    <x v="1"/>
    <x v="1"/>
    <s v="Jeans"/>
    <n v="367.28"/>
    <n v="1"/>
    <n v="78.98"/>
  </r>
  <r>
    <d v="2025-10-03T00:00:00"/>
    <x v="0"/>
    <x v="9"/>
    <x v="36"/>
    <x v="0"/>
    <x v="0"/>
    <x v="0"/>
    <s v="Headphones"/>
    <n v="1199.46"/>
    <n v="1"/>
    <n v="81.25"/>
  </r>
  <r>
    <d v="2025-10-03T00:00:00"/>
    <x v="0"/>
    <x v="9"/>
    <x v="55"/>
    <x v="1"/>
    <x v="0"/>
    <x v="0"/>
    <s v="Smartphone"/>
    <n v="835.8"/>
    <n v="2"/>
    <n v="200.8"/>
  </r>
  <r>
    <d v="2025-10-03T00:00:00"/>
    <x v="0"/>
    <x v="9"/>
    <x v="13"/>
    <x v="8"/>
    <x v="2"/>
    <x v="2"/>
    <s v="Desk"/>
    <n v="742.21"/>
    <n v="3"/>
    <n v="74.819999999999993"/>
  </r>
  <r>
    <d v="2025-10-05T00:00:00"/>
    <x v="0"/>
    <x v="9"/>
    <x v="93"/>
    <x v="4"/>
    <x v="0"/>
    <x v="0"/>
    <s v="Smartphone"/>
    <n v="1366.41"/>
    <n v="1"/>
    <n v="105.71"/>
  </r>
  <r>
    <d v="2025-10-07T00:00:00"/>
    <x v="0"/>
    <x v="9"/>
    <x v="37"/>
    <x v="7"/>
    <x v="1"/>
    <x v="1"/>
    <s v="Shoes"/>
    <n v="511.89"/>
    <n v="1"/>
    <n v="130.41"/>
  </r>
  <r>
    <d v="2025-10-08T00:00:00"/>
    <x v="0"/>
    <x v="9"/>
    <x v="67"/>
    <x v="4"/>
    <x v="0"/>
    <x v="0"/>
    <s v="Camera"/>
    <n v="1451.7"/>
    <n v="4"/>
    <n v="136.97999999999999"/>
  </r>
  <r>
    <d v="2025-10-08T00:00:00"/>
    <x v="0"/>
    <x v="9"/>
    <x v="52"/>
    <x v="9"/>
    <x v="0"/>
    <x v="0"/>
    <s v="Smartphone"/>
    <n v="42.83"/>
    <n v="5"/>
    <n v="4.55"/>
  </r>
  <r>
    <d v="2025-10-09T00:00:00"/>
    <x v="0"/>
    <x v="9"/>
    <x v="11"/>
    <x v="2"/>
    <x v="2"/>
    <x v="2"/>
    <s v="Couch"/>
    <n v="169.07"/>
    <n v="5"/>
    <n v="20.18"/>
  </r>
  <r>
    <d v="2025-10-10T00:00:00"/>
    <x v="0"/>
    <x v="9"/>
    <x v="33"/>
    <x v="5"/>
    <x v="1"/>
    <x v="1"/>
    <s v="Jacket"/>
    <n v="1044.28"/>
    <n v="1"/>
    <n v="108.48"/>
  </r>
  <r>
    <d v="2025-10-12T00:00:00"/>
    <x v="0"/>
    <x v="9"/>
    <x v="58"/>
    <x v="3"/>
    <x v="0"/>
    <x v="0"/>
    <s v="Tablet"/>
    <n v="452.71"/>
    <n v="3"/>
    <n v="130.08000000000001"/>
  </r>
  <r>
    <d v="2025-10-12T00:00:00"/>
    <x v="0"/>
    <x v="9"/>
    <x v="68"/>
    <x v="7"/>
    <x v="2"/>
    <x v="2"/>
    <s v="Desk"/>
    <n v="1001.29"/>
    <n v="1"/>
    <n v="164.27"/>
  </r>
  <r>
    <d v="2025-10-13T00:00:00"/>
    <x v="0"/>
    <x v="9"/>
    <x v="75"/>
    <x v="6"/>
    <x v="2"/>
    <x v="2"/>
    <s v="Office Chair"/>
    <n v="1035.8599999999999"/>
    <n v="1"/>
    <n v="96.67"/>
  </r>
  <r>
    <d v="2025-10-14T00:00:00"/>
    <x v="0"/>
    <x v="9"/>
    <x v="16"/>
    <x v="3"/>
    <x v="0"/>
    <x v="0"/>
    <s v="Tablet"/>
    <n v="1143.57"/>
    <n v="2"/>
    <n v="124.64"/>
  </r>
  <r>
    <d v="2025-10-14T00:00:00"/>
    <x v="0"/>
    <x v="9"/>
    <x v="37"/>
    <x v="7"/>
    <x v="1"/>
    <x v="1"/>
    <s v="T-shirt"/>
    <n v="741.22"/>
    <n v="3"/>
    <n v="189.17"/>
  </r>
  <r>
    <d v="2025-10-14T00:00:00"/>
    <x v="0"/>
    <x v="9"/>
    <x v="51"/>
    <x v="2"/>
    <x v="1"/>
    <x v="1"/>
    <s v="Sweater"/>
    <n v="129.15"/>
    <n v="4"/>
    <n v="37.64"/>
  </r>
  <r>
    <d v="2025-10-14T00:00:00"/>
    <x v="0"/>
    <x v="9"/>
    <x v="57"/>
    <x v="4"/>
    <x v="2"/>
    <x v="2"/>
    <s v="Dining Table"/>
    <n v="208.39"/>
    <n v="1"/>
    <n v="44.74"/>
  </r>
  <r>
    <d v="2025-10-15T00:00:00"/>
    <x v="0"/>
    <x v="9"/>
    <x v="48"/>
    <x v="2"/>
    <x v="0"/>
    <x v="0"/>
    <s v="Camera"/>
    <n v="252.77"/>
    <n v="2"/>
    <n v="14.31"/>
  </r>
  <r>
    <d v="2025-10-15T00:00:00"/>
    <x v="0"/>
    <x v="9"/>
    <x v="75"/>
    <x v="2"/>
    <x v="2"/>
    <x v="2"/>
    <s v="Couch"/>
    <n v="1211.24"/>
    <n v="1"/>
    <n v="241.42"/>
  </r>
  <r>
    <d v="2025-10-15T00:00:00"/>
    <x v="0"/>
    <x v="9"/>
    <x v="42"/>
    <x v="6"/>
    <x v="0"/>
    <x v="0"/>
    <s v="Tablet"/>
    <n v="952.07"/>
    <n v="4"/>
    <n v="98.23"/>
  </r>
  <r>
    <d v="2025-10-15T00:00:00"/>
    <x v="0"/>
    <x v="9"/>
    <x v="94"/>
    <x v="4"/>
    <x v="0"/>
    <x v="0"/>
    <s v="Camera"/>
    <n v="380.58"/>
    <n v="3"/>
    <n v="109.28"/>
  </r>
  <r>
    <d v="2025-10-16T00:00:00"/>
    <x v="0"/>
    <x v="9"/>
    <x v="51"/>
    <x v="6"/>
    <x v="0"/>
    <x v="0"/>
    <s v="Laptop"/>
    <n v="806.02"/>
    <n v="1"/>
    <n v="110.95"/>
  </r>
  <r>
    <d v="2025-10-19T00:00:00"/>
    <x v="0"/>
    <x v="9"/>
    <x v="32"/>
    <x v="5"/>
    <x v="0"/>
    <x v="0"/>
    <s v="Headphones"/>
    <n v="799.18"/>
    <n v="2"/>
    <n v="239.01"/>
  </r>
  <r>
    <d v="2025-10-19T00:00:00"/>
    <x v="0"/>
    <x v="9"/>
    <x v="80"/>
    <x v="0"/>
    <x v="0"/>
    <x v="0"/>
    <s v="Headphones"/>
    <n v="360.21"/>
    <n v="3"/>
    <n v="68.23"/>
  </r>
  <r>
    <d v="2025-10-22T00:00:00"/>
    <x v="0"/>
    <x v="9"/>
    <x v="3"/>
    <x v="0"/>
    <x v="1"/>
    <x v="1"/>
    <s v="Sweater"/>
    <n v="1264.6099999999999"/>
    <n v="4"/>
    <n v="193.28"/>
  </r>
  <r>
    <d v="2025-10-23T00:00:00"/>
    <x v="0"/>
    <x v="9"/>
    <x v="4"/>
    <x v="1"/>
    <x v="0"/>
    <x v="0"/>
    <s v="Camera"/>
    <n v="440.14"/>
    <n v="3"/>
    <n v="118.67"/>
  </r>
  <r>
    <d v="2025-10-23T00:00:00"/>
    <x v="0"/>
    <x v="9"/>
    <x v="28"/>
    <x v="3"/>
    <x v="2"/>
    <x v="2"/>
    <s v="Office Chair"/>
    <n v="566.53"/>
    <n v="5"/>
    <n v="118"/>
  </r>
  <r>
    <d v="2025-10-25T00:00:00"/>
    <x v="0"/>
    <x v="9"/>
    <x v="13"/>
    <x v="6"/>
    <x v="1"/>
    <x v="1"/>
    <s v="Jeans"/>
    <n v="1241.95"/>
    <n v="5"/>
    <n v="122.53"/>
  </r>
  <r>
    <d v="2025-10-27T00:00:00"/>
    <x v="0"/>
    <x v="9"/>
    <x v="26"/>
    <x v="3"/>
    <x v="1"/>
    <x v="1"/>
    <s v="T-shirt"/>
    <n v="1100.1600000000001"/>
    <n v="4"/>
    <n v="157.33000000000001"/>
  </r>
  <r>
    <d v="2025-10-27T00:00:00"/>
    <x v="0"/>
    <x v="9"/>
    <x v="46"/>
    <x v="2"/>
    <x v="2"/>
    <x v="2"/>
    <s v="Bookshelf"/>
    <n v="908.8"/>
    <n v="2"/>
    <n v="251.18"/>
  </r>
  <r>
    <d v="2025-10-31T00:00:00"/>
    <x v="0"/>
    <x v="9"/>
    <x v="55"/>
    <x v="0"/>
    <x v="0"/>
    <x v="0"/>
    <s v="Tablet"/>
    <n v="291.17"/>
    <n v="1"/>
    <n v="39.979999999999997"/>
  </r>
  <r>
    <d v="2025-11-01T00:00:00"/>
    <x v="0"/>
    <x v="10"/>
    <x v="61"/>
    <x v="3"/>
    <x v="1"/>
    <x v="1"/>
    <s v="Jeans"/>
    <n v="648.02"/>
    <n v="1"/>
    <n v="144.58000000000001"/>
  </r>
  <r>
    <d v="2025-11-01T00:00:00"/>
    <x v="0"/>
    <x v="10"/>
    <x v="89"/>
    <x v="2"/>
    <x v="0"/>
    <x v="0"/>
    <s v="Tablet"/>
    <n v="406.12"/>
    <n v="3"/>
    <n v="66.44"/>
  </r>
  <r>
    <d v="2025-11-01T00:00:00"/>
    <x v="0"/>
    <x v="10"/>
    <x v="91"/>
    <x v="6"/>
    <x v="1"/>
    <x v="1"/>
    <s v="Jacket"/>
    <n v="584.95000000000005"/>
    <n v="3"/>
    <n v="89.15"/>
  </r>
  <r>
    <d v="2025-11-02T00:00:00"/>
    <x v="0"/>
    <x v="10"/>
    <x v="92"/>
    <x v="3"/>
    <x v="0"/>
    <x v="0"/>
    <s v="Smartphone"/>
    <n v="206.04"/>
    <n v="4"/>
    <n v="57.13"/>
  </r>
  <r>
    <d v="2025-11-02T00:00:00"/>
    <x v="0"/>
    <x v="10"/>
    <x v="1"/>
    <x v="4"/>
    <x v="1"/>
    <x v="1"/>
    <s v="T-shirt"/>
    <n v="1300.99"/>
    <n v="1"/>
    <n v="348.26"/>
  </r>
  <r>
    <d v="2025-11-02T00:00:00"/>
    <x v="0"/>
    <x v="10"/>
    <x v="33"/>
    <x v="4"/>
    <x v="2"/>
    <x v="2"/>
    <s v="Office Chair"/>
    <n v="47.46"/>
    <n v="4"/>
    <n v="13.18"/>
  </r>
  <r>
    <d v="2025-11-03T00:00:00"/>
    <x v="0"/>
    <x v="10"/>
    <x v="63"/>
    <x v="6"/>
    <x v="0"/>
    <x v="0"/>
    <s v="Camera"/>
    <n v="993.85"/>
    <n v="2"/>
    <n v="54.9"/>
  </r>
  <r>
    <d v="2025-11-04T00:00:00"/>
    <x v="0"/>
    <x v="10"/>
    <x v="4"/>
    <x v="1"/>
    <x v="1"/>
    <x v="1"/>
    <s v="Jeans"/>
    <n v="1199"/>
    <n v="5"/>
    <n v="86.75"/>
  </r>
  <r>
    <d v="2025-11-04T00:00:00"/>
    <x v="0"/>
    <x v="10"/>
    <x v="54"/>
    <x v="4"/>
    <x v="2"/>
    <x v="2"/>
    <s v="Bookshelf"/>
    <n v="218.64"/>
    <n v="4"/>
    <n v="36.6"/>
  </r>
  <r>
    <d v="2025-11-05T00:00:00"/>
    <x v="0"/>
    <x v="10"/>
    <x v="7"/>
    <x v="9"/>
    <x v="2"/>
    <x v="2"/>
    <s v="Office Chair"/>
    <n v="725.75"/>
    <n v="1"/>
    <n v="104.64"/>
  </r>
  <r>
    <d v="2025-11-05T00:00:00"/>
    <x v="0"/>
    <x v="10"/>
    <x v="31"/>
    <x v="5"/>
    <x v="2"/>
    <x v="2"/>
    <s v="Desk"/>
    <n v="257.76"/>
    <n v="3"/>
    <n v="24.77"/>
  </r>
  <r>
    <d v="2025-11-06T00:00:00"/>
    <x v="0"/>
    <x v="10"/>
    <x v="35"/>
    <x v="0"/>
    <x v="1"/>
    <x v="1"/>
    <s v="Jacket"/>
    <n v="989.84"/>
    <n v="1"/>
    <n v="183.75"/>
  </r>
  <r>
    <d v="2025-11-06T00:00:00"/>
    <x v="0"/>
    <x v="10"/>
    <x v="61"/>
    <x v="4"/>
    <x v="0"/>
    <x v="0"/>
    <s v="Tablet"/>
    <n v="120.62"/>
    <n v="1"/>
    <n v="15.08"/>
  </r>
  <r>
    <d v="2025-11-06T00:00:00"/>
    <x v="0"/>
    <x v="10"/>
    <x v="32"/>
    <x v="9"/>
    <x v="0"/>
    <x v="0"/>
    <s v="Tablet"/>
    <n v="898.52"/>
    <n v="4"/>
    <n v="247.17"/>
  </r>
  <r>
    <d v="2025-11-07T00:00:00"/>
    <x v="0"/>
    <x v="10"/>
    <x v="95"/>
    <x v="5"/>
    <x v="1"/>
    <x v="1"/>
    <s v="Jacket"/>
    <n v="627.04999999999995"/>
    <n v="5"/>
    <n v="92.03"/>
  </r>
  <r>
    <d v="2025-11-09T00:00:00"/>
    <x v="0"/>
    <x v="10"/>
    <x v="51"/>
    <x v="7"/>
    <x v="0"/>
    <x v="0"/>
    <s v="Smartphone"/>
    <n v="106.93"/>
    <n v="4"/>
    <n v="30.53"/>
  </r>
  <r>
    <d v="2025-11-09T00:00:00"/>
    <x v="0"/>
    <x v="10"/>
    <x v="96"/>
    <x v="7"/>
    <x v="1"/>
    <x v="1"/>
    <s v="Jacket"/>
    <n v="1306.45"/>
    <n v="3"/>
    <n v="351.01"/>
  </r>
  <r>
    <d v="2025-11-10T00:00:00"/>
    <x v="0"/>
    <x v="10"/>
    <x v="69"/>
    <x v="4"/>
    <x v="1"/>
    <x v="1"/>
    <s v="Jacket"/>
    <n v="914.57"/>
    <n v="3"/>
    <n v="98.76"/>
  </r>
  <r>
    <d v="2025-11-11T00:00:00"/>
    <x v="0"/>
    <x v="10"/>
    <x v="66"/>
    <x v="7"/>
    <x v="2"/>
    <x v="2"/>
    <s v="Desk"/>
    <n v="1231.72"/>
    <n v="5"/>
    <n v="290.52999999999997"/>
  </r>
  <r>
    <d v="2025-11-11T00:00:00"/>
    <x v="0"/>
    <x v="10"/>
    <x v="80"/>
    <x v="8"/>
    <x v="2"/>
    <x v="2"/>
    <s v="Office Chair"/>
    <n v="1248.01"/>
    <n v="1"/>
    <n v="71.88"/>
  </r>
  <r>
    <d v="2025-11-11T00:00:00"/>
    <x v="0"/>
    <x v="10"/>
    <x v="59"/>
    <x v="8"/>
    <x v="2"/>
    <x v="2"/>
    <s v="Couch"/>
    <n v="205.71"/>
    <n v="1"/>
    <n v="48.93"/>
  </r>
  <r>
    <d v="2025-11-12T00:00:00"/>
    <x v="0"/>
    <x v="10"/>
    <x v="24"/>
    <x v="3"/>
    <x v="0"/>
    <x v="0"/>
    <s v="Headphones"/>
    <n v="551.80999999999995"/>
    <n v="1"/>
    <n v="62.62"/>
  </r>
  <r>
    <d v="2025-11-12T00:00:00"/>
    <x v="0"/>
    <x v="10"/>
    <x v="70"/>
    <x v="9"/>
    <x v="0"/>
    <x v="0"/>
    <s v="Smartphone"/>
    <n v="1056.7"/>
    <n v="5"/>
    <n v="131.16999999999999"/>
  </r>
  <r>
    <d v="2025-11-12T00:00:00"/>
    <x v="0"/>
    <x v="10"/>
    <x v="69"/>
    <x v="7"/>
    <x v="1"/>
    <x v="1"/>
    <s v="Sweater"/>
    <n v="608.65"/>
    <n v="1"/>
    <n v="142.21"/>
  </r>
  <r>
    <d v="2025-11-13T00:00:00"/>
    <x v="0"/>
    <x v="10"/>
    <x v="29"/>
    <x v="6"/>
    <x v="1"/>
    <x v="1"/>
    <s v="Shoes"/>
    <n v="410.8"/>
    <n v="3"/>
    <n v="121.63"/>
  </r>
  <r>
    <d v="2025-11-13T00:00:00"/>
    <x v="0"/>
    <x v="10"/>
    <x v="7"/>
    <x v="4"/>
    <x v="2"/>
    <x v="2"/>
    <s v="Couch"/>
    <n v="1004.71"/>
    <n v="2"/>
    <n v="241.7"/>
  </r>
  <r>
    <d v="2025-11-14T00:00:00"/>
    <x v="0"/>
    <x v="10"/>
    <x v="57"/>
    <x v="2"/>
    <x v="1"/>
    <x v="1"/>
    <s v="Jeans"/>
    <n v="111.69"/>
    <n v="3"/>
    <n v="13.65"/>
  </r>
  <r>
    <d v="2025-11-16T00:00:00"/>
    <x v="0"/>
    <x v="10"/>
    <x v="6"/>
    <x v="3"/>
    <x v="1"/>
    <x v="1"/>
    <s v="Shoes"/>
    <n v="284.85000000000002"/>
    <n v="1"/>
    <n v="36.31"/>
  </r>
  <r>
    <d v="2025-11-16T00:00:00"/>
    <x v="0"/>
    <x v="10"/>
    <x v="0"/>
    <x v="6"/>
    <x v="1"/>
    <x v="1"/>
    <s v="Sweater"/>
    <n v="715.08"/>
    <n v="4"/>
    <n v="68.92"/>
  </r>
  <r>
    <d v="2025-11-16T00:00:00"/>
    <x v="0"/>
    <x v="10"/>
    <x v="1"/>
    <x v="4"/>
    <x v="2"/>
    <x v="2"/>
    <s v="Office Chair"/>
    <n v="1112.1099999999999"/>
    <n v="2"/>
    <n v="263.8"/>
  </r>
  <r>
    <d v="2025-11-18T00:00:00"/>
    <x v="0"/>
    <x v="10"/>
    <x v="42"/>
    <x v="7"/>
    <x v="2"/>
    <x v="2"/>
    <s v="Desk"/>
    <n v="686.86"/>
    <n v="5"/>
    <n v="45.23"/>
  </r>
  <r>
    <d v="2025-11-20T00:00:00"/>
    <x v="0"/>
    <x v="10"/>
    <x v="49"/>
    <x v="9"/>
    <x v="1"/>
    <x v="1"/>
    <s v="T-shirt"/>
    <n v="1392.84"/>
    <n v="1"/>
    <n v="199.23"/>
  </r>
  <r>
    <d v="2025-11-21T00:00:00"/>
    <x v="0"/>
    <x v="10"/>
    <x v="50"/>
    <x v="1"/>
    <x v="1"/>
    <x v="1"/>
    <s v="Jacket"/>
    <n v="1304.6600000000001"/>
    <n v="1"/>
    <n v="104.44"/>
  </r>
  <r>
    <d v="2025-11-21T00:00:00"/>
    <x v="0"/>
    <x v="10"/>
    <x v="19"/>
    <x v="2"/>
    <x v="1"/>
    <x v="1"/>
    <s v="Sweater"/>
    <n v="1402.31"/>
    <n v="3"/>
    <n v="105.67"/>
  </r>
  <r>
    <d v="2025-11-22T00:00:00"/>
    <x v="0"/>
    <x v="10"/>
    <x v="61"/>
    <x v="2"/>
    <x v="1"/>
    <x v="1"/>
    <s v="Sweater"/>
    <n v="933.35"/>
    <n v="3"/>
    <n v="79.16"/>
  </r>
  <r>
    <d v="2025-11-25T00:00:00"/>
    <x v="0"/>
    <x v="10"/>
    <x v="54"/>
    <x v="6"/>
    <x v="1"/>
    <x v="1"/>
    <s v="Sweater"/>
    <n v="1101.8699999999999"/>
    <n v="3"/>
    <n v="263.95"/>
  </r>
  <r>
    <d v="2025-11-26T00:00:00"/>
    <x v="0"/>
    <x v="10"/>
    <x v="76"/>
    <x v="4"/>
    <x v="1"/>
    <x v="1"/>
    <s v="Sweater"/>
    <n v="540.88"/>
    <n v="1"/>
    <n v="63.84"/>
  </r>
  <r>
    <d v="2025-11-27T00:00:00"/>
    <x v="0"/>
    <x v="10"/>
    <x v="23"/>
    <x v="5"/>
    <x v="2"/>
    <x v="2"/>
    <s v="Couch"/>
    <n v="575.24"/>
    <n v="3"/>
    <n v="134.66"/>
  </r>
  <r>
    <d v="2025-11-28T00:00:00"/>
    <x v="0"/>
    <x v="10"/>
    <x v="64"/>
    <x v="5"/>
    <x v="1"/>
    <x v="1"/>
    <s v="Sweater"/>
    <n v="1426.56"/>
    <n v="3"/>
    <n v="349.4"/>
  </r>
  <r>
    <d v="2025-11-28T00:00:00"/>
    <x v="0"/>
    <x v="10"/>
    <x v="1"/>
    <x v="4"/>
    <x v="1"/>
    <x v="1"/>
    <s v="Sweater"/>
    <n v="103.19"/>
    <n v="4"/>
    <n v="24.14"/>
  </r>
  <r>
    <d v="2025-11-30T00:00:00"/>
    <x v="0"/>
    <x v="10"/>
    <x v="58"/>
    <x v="4"/>
    <x v="0"/>
    <x v="0"/>
    <s v="Smartphone"/>
    <n v="602.38"/>
    <n v="2"/>
    <n v="156.27000000000001"/>
  </r>
  <r>
    <d v="2025-12-02T00:00:00"/>
    <x v="0"/>
    <x v="11"/>
    <x v="60"/>
    <x v="8"/>
    <x v="0"/>
    <x v="0"/>
    <s v="Laptop"/>
    <n v="732.06"/>
    <n v="2"/>
    <n v="47.18"/>
  </r>
  <r>
    <d v="2025-12-02T00:00:00"/>
    <x v="0"/>
    <x v="11"/>
    <x v="54"/>
    <x v="1"/>
    <x v="0"/>
    <x v="0"/>
    <s v="Camera"/>
    <n v="1101.6300000000001"/>
    <n v="3"/>
    <n v="141.33000000000001"/>
  </r>
  <r>
    <d v="2025-12-03T00:00:00"/>
    <x v="0"/>
    <x v="11"/>
    <x v="64"/>
    <x v="7"/>
    <x v="2"/>
    <x v="2"/>
    <s v="Office Chair"/>
    <n v="500.29"/>
    <n v="1"/>
    <n v="93.91"/>
  </r>
  <r>
    <d v="2025-12-05T00:00:00"/>
    <x v="0"/>
    <x v="11"/>
    <x v="62"/>
    <x v="9"/>
    <x v="0"/>
    <x v="0"/>
    <s v="Laptop"/>
    <n v="343.54"/>
    <n v="5"/>
    <n v="31.69"/>
  </r>
  <r>
    <d v="2025-12-06T00:00:00"/>
    <x v="0"/>
    <x v="11"/>
    <x v="31"/>
    <x v="7"/>
    <x v="0"/>
    <x v="0"/>
    <s v="Tablet"/>
    <n v="566.23"/>
    <n v="2"/>
    <n v="155.35"/>
  </r>
  <r>
    <d v="2025-12-06T00:00:00"/>
    <x v="0"/>
    <x v="11"/>
    <x v="21"/>
    <x v="9"/>
    <x v="1"/>
    <x v="1"/>
    <s v="T-shirt"/>
    <n v="217.64"/>
    <n v="3"/>
    <n v="33.83"/>
  </r>
  <r>
    <d v="2025-12-06T00:00:00"/>
    <x v="0"/>
    <x v="11"/>
    <x v="34"/>
    <x v="1"/>
    <x v="0"/>
    <x v="0"/>
    <s v="Headphones"/>
    <n v="266.05"/>
    <n v="3"/>
    <n v="62.59"/>
  </r>
  <r>
    <d v="2025-12-07T00:00:00"/>
    <x v="0"/>
    <x v="11"/>
    <x v="26"/>
    <x v="2"/>
    <x v="1"/>
    <x v="1"/>
    <s v="Sweater"/>
    <n v="1492.34"/>
    <n v="1"/>
    <n v="441.74"/>
  </r>
  <r>
    <d v="2025-12-07T00:00:00"/>
    <x v="0"/>
    <x v="11"/>
    <x v="49"/>
    <x v="9"/>
    <x v="1"/>
    <x v="1"/>
    <s v="Sweater"/>
    <n v="96.03"/>
    <n v="4"/>
    <n v="16.010000000000002"/>
  </r>
  <r>
    <d v="2025-12-08T00:00:00"/>
    <x v="0"/>
    <x v="11"/>
    <x v="17"/>
    <x v="8"/>
    <x v="2"/>
    <x v="2"/>
    <s v="Office Chair"/>
    <n v="1201.8699999999999"/>
    <n v="3"/>
    <n v="326.75"/>
  </r>
  <r>
    <d v="2025-12-08T00:00:00"/>
    <x v="0"/>
    <x v="11"/>
    <x v="1"/>
    <x v="9"/>
    <x v="0"/>
    <x v="0"/>
    <s v="Camera"/>
    <n v="692.7"/>
    <n v="5"/>
    <n v="156.9"/>
  </r>
  <r>
    <d v="2025-12-09T00:00:00"/>
    <x v="0"/>
    <x v="11"/>
    <x v="50"/>
    <x v="3"/>
    <x v="1"/>
    <x v="1"/>
    <s v="Shoes"/>
    <n v="814.36"/>
    <n v="5"/>
    <n v="87.3"/>
  </r>
  <r>
    <d v="2025-12-09T00:00:00"/>
    <x v="0"/>
    <x v="11"/>
    <x v="63"/>
    <x v="2"/>
    <x v="1"/>
    <x v="1"/>
    <s v="Jeans"/>
    <n v="11.53"/>
    <n v="2"/>
    <n v="1.37"/>
  </r>
  <r>
    <d v="2025-12-09T00:00:00"/>
    <x v="0"/>
    <x v="11"/>
    <x v="66"/>
    <x v="3"/>
    <x v="1"/>
    <x v="1"/>
    <s v="T-shirt"/>
    <n v="499.29"/>
    <n v="1"/>
    <n v="70.709999999999994"/>
  </r>
  <r>
    <d v="2025-12-09T00:00:00"/>
    <x v="0"/>
    <x v="11"/>
    <x v="46"/>
    <x v="6"/>
    <x v="0"/>
    <x v="0"/>
    <s v="Camera"/>
    <n v="104.82"/>
    <n v="4"/>
    <n v="11.01"/>
  </r>
  <r>
    <d v="2025-12-10T00:00:00"/>
    <x v="0"/>
    <x v="11"/>
    <x v="66"/>
    <x v="4"/>
    <x v="2"/>
    <x v="2"/>
    <s v="Desk"/>
    <n v="201.84"/>
    <n v="2"/>
    <n v="44.93"/>
  </r>
  <r>
    <d v="2025-12-10T00:00:00"/>
    <x v="0"/>
    <x v="11"/>
    <x v="71"/>
    <x v="4"/>
    <x v="2"/>
    <x v="2"/>
    <s v="Bookshelf"/>
    <n v="1089.99"/>
    <n v="4"/>
    <n v="121.83"/>
  </r>
  <r>
    <d v="2025-12-10T00:00:00"/>
    <x v="0"/>
    <x v="11"/>
    <x v="56"/>
    <x v="5"/>
    <x v="1"/>
    <x v="1"/>
    <s v="Shoes"/>
    <n v="188.55"/>
    <n v="3"/>
    <n v="16.61"/>
  </r>
  <r>
    <d v="2025-12-10T00:00:00"/>
    <x v="0"/>
    <x v="11"/>
    <x v="60"/>
    <x v="2"/>
    <x v="0"/>
    <x v="0"/>
    <s v="Camera"/>
    <n v="767.78"/>
    <n v="2"/>
    <n v="127.06"/>
  </r>
  <r>
    <d v="2025-12-10T00:00:00"/>
    <x v="0"/>
    <x v="11"/>
    <x v="48"/>
    <x v="8"/>
    <x v="0"/>
    <x v="0"/>
    <s v="Tablet"/>
    <n v="10.28"/>
    <n v="3"/>
    <n v="0.8"/>
  </r>
  <r>
    <d v="2025-12-11T00:00:00"/>
    <x v="0"/>
    <x v="11"/>
    <x v="22"/>
    <x v="0"/>
    <x v="0"/>
    <x v="0"/>
    <s v="Laptop"/>
    <n v="1206.25"/>
    <n v="5"/>
    <n v="242.37"/>
  </r>
  <r>
    <d v="2025-12-11T00:00:00"/>
    <x v="0"/>
    <x v="11"/>
    <x v="77"/>
    <x v="0"/>
    <x v="0"/>
    <x v="0"/>
    <s v="Laptop"/>
    <n v="889.53"/>
    <n v="4"/>
    <n v="222.02"/>
  </r>
  <r>
    <d v="2025-12-12T00:00:00"/>
    <x v="0"/>
    <x v="11"/>
    <x v="32"/>
    <x v="9"/>
    <x v="0"/>
    <x v="0"/>
    <s v="Camera"/>
    <n v="827.59"/>
    <n v="5"/>
    <n v="136.71"/>
  </r>
  <r>
    <d v="2025-12-13T00:00:00"/>
    <x v="0"/>
    <x v="11"/>
    <x v="27"/>
    <x v="4"/>
    <x v="2"/>
    <x v="2"/>
    <s v="Bookshelf"/>
    <n v="1303.56"/>
    <n v="4"/>
    <n v="342.37"/>
  </r>
  <r>
    <d v="2025-12-14T00:00:00"/>
    <x v="0"/>
    <x v="11"/>
    <x v="86"/>
    <x v="8"/>
    <x v="0"/>
    <x v="0"/>
    <s v="Tablet"/>
    <n v="411.42"/>
    <n v="3"/>
    <n v="53.81"/>
  </r>
  <r>
    <d v="2025-12-14T00:00:00"/>
    <x v="0"/>
    <x v="11"/>
    <x v="31"/>
    <x v="2"/>
    <x v="0"/>
    <x v="0"/>
    <s v="Headphones"/>
    <n v="78.540000000000006"/>
    <n v="1"/>
    <n v="10.039999999999999"/>
  </r>
  <r>
    <d v="2025-12-14T00:00:00"/>
    <x v="0"/>
    <x v="11"/>
    <x v="28"/>
    <x v="3"/>
    <x v="2"/>
    <x v="2"/>
    <s v="Couch"/>
    <n v="845.8"/>
    <n v="3"/>
    <n v="127.61"/>
  </r>
  <r>
    <d v="2025-12-15T00:00:00"/>
    <x v="0"/>
    <x v="11"/>
    <x v="16"/>
    <x v="7"/>
    <x v="0"/>
    <x v="0"/>
    <s v="Laptop"/>
    <n v="751.74"/>
    <n v="4"/>
    <n v="122.48"/>
  </r>
  <r>
    <d v="2025-12-16T00:00:00"/>
    <x v="0"/>
    <x v="11"/>
    <x v="96"/>
    <x v="8"/>
    <x v="0"/>
    <x v="0"/>
    <s v="Headphones"/>
    <n v="421.9"/>
    <n v="1"/>
    <n v="62.86"/>
  </r>
  <r>
    <d v="2025-12-16T00:00:00"/>
    <x v="0"/>
    <x v="11"/>
    <x v="62"/>
    <x v="7"/>
    <x v="0"/>
    <x v="0"/>
    <s v="Headphones"/>
    <n v="878.65"/>
    <n v="5"/>
    <n v="141.47"/>
  </r>
  <r>
    <d v="2025-12-16T00:00:00"/>
    <x v="0"/>
    <x v="11"/>
    <x v="17"/>
    <x v="9"/>
    <x v="2"/>
    <x v="2"/>
    <s v="Dining Table"/>
    <n v="55.52"/>
    <n v="3"/>
    <n v="12.39"/>
  </r>
  <r>
    <d v="2025-12-17T00:00:00"/>
    <x v="0"/>
    <x v="11"/>
    <x v="38"/>
    <x v="9"/>
    <x v="0"/>
    <x v="0"/>
    <s v="Tablet"/>
    <n v="201.39"/>
    <n v="3"/>
    <n v="48.39"/>
  </r>
  <r>
    <d v="2025-12-17T00:00:00"/>
    <x v="0"/>
    <x v="11"/>
    <x v="56"/>
    <x v="6"/>
    <x v="1"/>
    <x v="1"/>
    <s v="Sweater"/>
    <n v="540.4"/>
    <n v="3"/>
    <n v="34.04"/>
  </r>
  <r>
    <d v="2025-12-20T00:00:00"/>
    <x v="0"/>
    <x v="11"/>
    <x v="97"/>
    <x v="0"/>
    <x v="0"/>
    <x v="0"/>
    <s v="Smartphone"/>
    <n v="1437.53"/>
    <n v="1"/>
    <n v="315.67"/>
  </r>
  <r>
    <d v="2025-12-22T00:00:00"/>
    <x v="0"/>
    <x v="11"/>
    <x v="50"/>
    <x v="0"/>
    <x v="1"/>
    <x v="1"/>
    <s v="Shoes"/>
    <n v="1348.07"/>
    <n v="1"/>
    <n v="288.05"/>
  </r>
  <r>
    <d v="2025-12-22T00:00:00"/>
    <x v="0"/>
    <x v="11"/>
    <x v="54"/>
    <x v="3"/>
    <x v="0"/>
    <x v="0"/>
    <s v="Smartphone"/>
    <n v="1229.1300000000001"/>
    <n v="5"/>
    <n v="167.54"/>
  </r>
  <r>
    <d v="2025-12-24T00:00:00"/>
    <x v="0"/>
    <x v="11"/>
    <x v="24"/>
    <x v="0"/>
    <x v="2"/>
    <x v="2"/>
    <s v="Bookshelf"/>
    <n v="140.94999999999999"/>
    <n v="1"/>
    <n v="9.8699999999999992"/>
  </r>
  <r>
    <d v="2025-12-24T00:00:00"/>
    <x v="0"/>
    <x v="11"/>
    <x v="43"/>
    <x v="6"/>
    <x v="0"/>
    <x v="0"/>
    <s v="Headphones"/>
    <n v="268.89"/>
    <n v="4"/>
    <n v="18"/>
  </r>
  <r>
    <d v="2025-12-24T00:00:00"/>
    <x v="0"/>
    <x v="11"/>
    <x v="42"/>
    <x v="3"/>
    <x v="2"/>
    <x v="2"/>
    <s v="Couch"/>
    <n v="1311.4"/>
    <n v="2"/>
    <n v="325.54000000000002"/>
  </r>
  <r>
    <d v="2025-12-25T00:00:00"/>
    <x v="0"/>
    <x v="11"/>
    <x v="50"/>
    <x v="9"/>
    <x v="2"/>
    <x v="2"/>
    <s v="Desk"/>
    <n v="1177.9100000000001"/>
    <n v="3"/>
    <n v="70.900000000000006"/>
  </r>
  <r>
    <d v="2025-12-26T00:00:00"/>
    <x v="0"/>
    <x v="11"/>
    <x v="59"/>
    <x v="8"/>
    <x v="2"/>
    <x v="2"/>
    <s v="Office Chair"/>
    <n v="1234.49"/>
    <n v="4"/>
    <n v="168.99"/>
  </r>
  <r>
    <d v="2025-12-27T00:00:00"/>
    <x v="0"/>
    <x v="11"/>
    <x v="0"/>
    <x v="0"/>
    <x v="2"/>
    <x v="2"/>
    <s v="Dining Table"/>
    <n v="1489.52"/>
    <n v="5"/>
    <n v="168.68"/>
  </r>
  <r>
    <d v="2025-12-27T00:00:00"/>
    <x v="0"/>
    <x v="11"/>
    <x v="0"/>
    <x v="4"/>
    <x v="0"/>
    <x v="0"/>
    <s v="Laptop"/>
    <n v="869.01"/>
    <n v="2"/>
    <n v="163.85"/>
  </r>
  <r>
    <d v="2025-12-27T00:00:00"/>
    <x v="0"/>
    <x v="11"/>
    <x v="36"/>
    <x v="8"/>
    <x v="1"/>
    <x v="1"/>
    <s v="Jacket"/>
    <n v="485.46"/>
    <n v="2"/>
    <n v="102.5"/>
  </r>
  <r>
    <d v="2025-12-27T00:00:00"/>
    <x v="0"/>
    <x v="11"/>
    <x v="16"/>
    <x v="8"/>
    <x v="2"/>
    <x v="2"/>
    <s v="Office Chair"/>
    <n v="877.43"/>
    <n v="1"/>
    <n v="56.58"/>
  </r>
  <r>
    <d v="2025-12-28T00:00:00"/>
    <x v="0"/>
    <x v="11"/>
    <x v="29"/>
    <x v="8"/>
    <x v="2"/>
    <x v="2"/>
    <s v="Desk"/>
    <n v="1343.29"/>
    <n v="4"/>
    <n v="82.35"/>
  </r>
  <r>
    <d v="2025-12-28T00:00:00"/>
    <x v="0"/>
    <x v="11"/>
    <x v="23"/>
    <x v="6"/>
    <x v="2"/>
    <x v="2"/>
    <s v="Office Chair"/>
    <n v="724.24"/>
    <n v="1"/>
    <n v="203.29"/>
  </r>
  <r>
    <d v="2025-12-28T00:00:00"/>
    <x v="0"/>
    <x v="11"/>
    <x v="48"/>
    <x v="7"/>
    <x v="2"/>
    <x v="2"/>
    <s v="Couch"/>
    <n v="1173.94"/>
    <n v="4"/>
    <n v="245.71"/>
  </r>
  <r>
    <d v="2025-12-29T00:00:00"/>
    <x v="0"/>
    <x v="11"/>
    <x v="1"/>
    <x v="5"/>
    <x v="2"/>
    <x v="2"/>
    <s v="Office Chair"/>
    <n v="1261.3900000000001"/>
    <n v="1"/>
    <n v="137.77000000000001"/>
  </r>
  <r>
    <d v="2025-12-29T00:00:00"/>
    <x v="0"/>
    <x v="11"/>
    <x v="69"/>
    <x v="5"/>
    <x v="1"/>
    <x v="1"/>
    <s v="Jeans"/>
    <n v="1280.56"/>
    <n v="2"/>
    <n v="343.42"/>
  </r>
  <r>
    <d v="2025-12-29T00:00:00"/>
    <x v="0"/>
    <x v="11"/>
    <x v="40"/>
    <x v="3"/>
    <x v="2"/>
    <x v="2"/>
    <s v="Bookshelf"/>
    <n v="1324.8"/>
    <n v="4"/>
    <n v="311.24"/>
  </r>
  <r>
    <d v="2025-12-30T00:00:00"/>
    <x v="0"/>
    <x v="11"/>
    <x v="23"/>
    <x v="3"/>
    <x v="2"/>
    <x v="2"/>
    <s v="Desk"/>
    <n v="1076.08"/>
    <n v="3"/>
    <n v="58.71"/>
  </r>
  <r>
    <d v="2025-12-31T00:00:00"/>
    <x v="0"/>
    <x v="11"/>
    <x v="64"/>
    <x v="3"/>
    <x v="1"/>
    <x v="1"/>
    <s v="T-shirt"/>
    <n v="478.39"/>
    <n v="4"/>
    <n v="132.46"/>
  </r>
  <r>
    <d v="2025-12-31T00:00:00"/>
    <x v="0"/>
    <x v="11"/>
    <x v="16"/>
    <x v="7"/>
    <x v="0"/>
    <x v="0"/>
    <s v="Tablet"/>
    <n v="1312.73"/>
    <n v="3"/>
    <n v="284.72000000000003"/>
  </r>
  <r>
    <d v="2026-01-01T00:00:00"/>
    <x v="1"/>
    <x v="0"/>
    <x v="56"/>
    <x v="5"/>
    <x v="2"/>
    <x v="2"/>
    <s v="Desk"/>
    <n v="374.09"/>
    <n v="3"/>
    <n v="110.97"/>
  </r>
  <r>
    <d v="2026-01-01T00:00:00"/>
    <x v="1"/>
    <x v="0"/>
    <x v="38"/>
    <x v="8"/>
    <x v="0"/>
    <x v="0"/>
    <s v="Tablet"/>
    <n v="991.96"/>
    <n v="3"/>
    <n v="67.27"/>
  </r>
  <r>
    <d v="2026-01-02T00:00:00"/>
    <x v="1"/>
    <x v="0"/>
    <x v="14"/>
    <x v="7"/>
    <x v="1"/>
    <x v="1"/>
    <s v="T-shirt"/>
    <n v="1442.17"/>
    <n v="2"/>
    <n v="146.63"/>
  </r>
  <r>
    <d v="2026-01-02T00:00:00"/>
    <x v="1"/>
    <x v="0"/>
    <x v="87"/>
    <x v="3"/>
    <x v="0"/>
    <x v="0"/>
    <s v="Tablet"/>
    <n v="1107.3"/>
    <n v="1"/>
    <n v="311.58999999999997"/>
  </r>
  <r>
    <d v="2026-01-02T00:00:00"/>
    <x v="1"/>
    <x v="0"/>
    <x v="37"/>
    <x v="1"/>
    <x v="1"/>
    <x v="1"/>
    <s v="T-shirt"/>
    <n v="669.03"/>
    <n v="3"/>
    <n v="101.92"/>
  </r>
  <r>
    <d v="2026-01-02T00:00:00"/>
    <x v="1"/>
    <x v="0"/>
    <x v="95"/>
    <x v="8"/>
    <x v="2"/>
    <x v="2"/>
    <s v="Bookshelf"/>
    <n v="988.54"/>
    <n v="1"/>
    <n v="240.58"/>
  </r>
  <r>
    <d v="2026-01-03T00:00:00"/>
    <x v="1"/>
    <x v="0"/>
    <x v="75"/>
    <x v="4"/>
    <x v="0"/>
    <x v="0"/>
    <s v="Camera"/>
    <n v="191.43"/>
    <n v="5"/>
    <n v="10.81"/>
  </r>
  <r>
    <d v="2026-01-04T00:00:00"/>
    <x v="1"/>
    <x v="0"/>
    <x v="23"/>
    <x v="6"/>
    <x v="1"/>
    <x v="1"/>
    <s v="T-shirt"/>
    <n v="54.21"/>
    <n v="3"/>
    <n v="3.32"/>
  </r>
  <r>
    <d v="2026-01-05T00:00:00"/>
    <x v="1"/>
    <x v="0"/>
    <x v="40"/>
    <x v="4"/>
    <x v="1"/>
    <x v="1"/>
    <s v="Sweater"/>
    <n v="853.4"/>
    <n v="3"/>
    <n v="204.3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9"/>
  </r>
  <r>
    <x v="0"/>
    <x v="22"/>
  </r>
  <r>
    <x v="0"/>
    <x v="23"/>
  </r>
  <r>
    <x v="0"/>
    <x v="24"/>
  </r>
  <r>
    <x v="0"/>
    <x v="25"/>
  </r>
  <r>
    <x v="0"/>
    <x v="26"/>
  </r>
  <r>
    <x v="0"/>
    <x v="27"/>
  </r>
  <r>
    <x v="0"/>
    <x v="28"/>
  </r>
  <r>
    <x v="0"/>
    <x v="25"/>
  </r>
  <r>
    <x v="0"/>
    <x v="29"/>
  </r>
  <r>
    <x v="0"/>
    <x v="30"/>
  </r>
  <r>
    <x v="0"/>
    <x v="31"/>
  </r>
  <r>
    <x v="0"/>
    <x v="32"/>
  </r>
  <r>
    <x v="0"/>
    <x v="33"/>
  </r>
  <r>
    <x v="0"/>
    <x v="34"/>
  </r>
  <r>
    <x v="0"/>
    <x v="35"/>
  </r>
  <r>
    <x v="0"/>
    <x v="9"/>
  </r>
  <r>
    <x v="0"/>
    <x v="36"/>
  </r>
  <r>
    <x v="0"/>
    <x v="37"/>
  </r>
  <r>
    <x v="0"/>
    <x v="29"/>
  </r>
  <r>
    <x v="0"/>
    <x v="38"/>
  </r>
  <r>
    <x v="0"/>
    <x v="39"/>
  </r>
  <r>
    <x v="0"/>
    <x v="11"/>
  </r>
  <r>
    <x v="0"/>
    <x v="40"/>
  </r>
  <r>
    <x v="0"/>
    <x v="34"/>
  </r>
  <r>
    <x v="0"/>
    <x v="4"/>
  </r>
  <r>
    <x v="0"/>
    <x v="30"/>
  </r>
  <r>
    <x v="0"/>
    <x v="41"/>
  </r>
  <r>
    <x v="0"/>
    <x v="42"/>
  </r>
  <r>
    <x v="0"/>
    <x v="43"/>
  </r>
  <r>
    <x v="0"/>
    <x v="44"/>
  </r>
  <r>
    <x v="0"/>
    <x v="22"/>
  </r>
  <r>
    <x v="0"/>
    <x v="45"/>
  </r>
  <r>
    <x v="0"/>
    <x v="46"/>
  </r>
  <r>
    <x v="0"/>
    <x v="47"/>
  </r>
  <r>
    <x v="0"/>
    <x v="28"/>
  </r>
  <r>
    <x v="0"/>
    <x v="21"/>
  </r>
  <r>
    <x v="0"/>
    <x v="48"/>
  </r>
  <r>
    <x v="0"/>
    <x v="49"/>
  </r>
  <r>
    <x v="0"/>
    <x v="3"/>
  </r>
  <r>
    <x v="0"/>
    <x v="50"/>
  </r>
  <r>
    <x v="0"/>
    <x v="35"/>
  </r>
  <r>
    <x v="0"/>
    <x v="51"/>
  </r>
  <r>
    <x v="0"/>
    <x v="5"/>
  </r>
  <r>
    <x v="0"/>
    <x v="8"/>
  </r>
  <r>
    <x v="0"/>
    <x v="20"/>
  </r>
  <r>
    <x v="0"/>
    <x v="52"/>
  </r>
  <r>
    <x v="0"/>
    <x v="53"/>
  </r>
  <r>
    <x v="0"/>
    <x v="23"/>
  </r>
  <r>
    <x v="0"/>
    <x v="54"/>
  </r>
  <r>
    <x v="0"/>
    <x v="55"/>
  </r>
  <r>
    <x v="0"/>
    <x v="56"/>
  </r>
  <r>
    <x v="0"/>
    <x v="41"/>
  </r>
  <r>
    <x v="0"/>
    <x v="7"/>
  </r>
  <r>
    <x v="0"/>
    <x v="57"/>
  </r>
  <r>
    <x v="0"/>
    <x v="4"/>
  </r>
  <r>
    <x v="0"/>
    <x v="58"/>
  </r>
  <r>
    <x v="0"/>
    <x v="23"/>
  </r>
  <r>
    <x v="0"/>
    <x v="49"/>
  </r>
  <r>
    <x v="0"/>
    <x v="59"/>
  </r>
  <r>
    <x v="0"/>
    <x v="18"/>
  </r>
  <r>
    <x v="0"/>
    <x v="60"/>
  </r>
  <r>
    <x v="0"/>
    <x v="56"/>
  </r>
  <r>
    <x v="0"/>
    <x v="61"/>
  </r>
  <r>
    <x v="0"/>
    <x v="62"/>
  </r>
  <r>
    <x v="0"/>
    <x v="63"/>
  </r>
  <r>
    <x v="0"/>
    <x v="28"/>
  </r>
  <r>
    <x v="0"/>
    <x v="0"/>
  </r>
  <r>
    <x v="0"/>
    <x v="42"/>
  </r>
  <r>
    <x v="0"/>
    <x v="5"/>
  </r>
  <r>
    <x v="0"/>
    <x v="45"/>
  </r>
  <r>
    <x v="0"/>
    <x v="64"/>
  </r>
  <r>
    <x v="0"/>
    <x v="21"/>
  </r>
  <r>
    <x v="0"/>
    <x v="65"/>
  </r>
  <r>
    <x v="0"/>
    <x v="24"/>
  </r>
  <r>
    <x v="0"/>
    <x v="66"/>
  </r>
  <r>
    <x v="0"/>
    <x v="30"/>
  </r>
  <r>
    <x v="0"/>
    <x v="67"/>
  </r>
  <r>
    <x v="0"/>
    <x v="37"/>
  </r>
  <r>
    <x v="0"/>
    <x v="23"/>
  </r>
  <r>
    <x v="0"/>
    <x v="50"/>
  </r>
  <r>
    <x v="0"/>
    <x v="51"/>
  </r>
  <r>
    <x v="0"/>
    <x v="30"/>
  </r>
  <r>
    <x v="0"/>
    <x v="54"/>
  </r>
  <r>
    <x v="0"/>
    <x v="53"/>
  </r>
  <r>
    <x v="0"/>
    <x v="4"/>
  </r>
  <r>
    <x v="0"/>
    <x v="35"/>
  </r>
  <r>
    <x v="0"/>
    <x v="30"/>
  </r>
  <r>
    <x v="0"/>
    <x v="68"/>
  </r>
  <r>
    <x v="0"/>
    <x v="37"/>
  </r>
  <r>
    <x v="0"/>
    <x v="16"/>
  </r>
  <r>
    <x v="0"/>
    <x v="39"/>
  </r>
  <r>
    <x v="0"/>
    <x v="69"/>
  </r>
  <r>
    <x v="0"/>
    <x v="27"/>
  </r>
  <r>
    <x v="0"/>
    <x v="70"/>
  </r>
  <r>
    <x v="0"/>
    <x v="69"/>
  </r>
  <r>
    <x v="0"/>
    <x v="32"/>
  </r>
  <r>
    <x v="0"/>
    <x v="6"/>
  </r>
  <r>
    <x v="0"/>
    <x v="69"/>
  </r>
  <r>
    <x v="0"/>
    <x v="2"/>
  </r>
  <r>
    <x v="0"/>
    <x v="67"/>
  </r>
  <r>
    <x v="0"/>
    <x v="26"/>
  </r>
  <r>
    <x v="0"/>
    <x v="0"/>
  </r>
  <r>
    <x v="0"/>
    <x v="69"/>
  </r>
  <r>
    <x v="0"/>
    <x v="7"/>
  </r>
  <r>
    <x v="0"/>
    <x v="39"/>
  </r>
  <r>
    <x v="0"/>
    <x v="57"/>
  </r>
  <r>
    <x v="0"/>
    <x v="27"/>
  </r>
  <r>
    <x v="0"/>
    <x v="18"/>
  </r>
  <r>
    <x v="0"/>
    <x v="9"/>
  </r>
  <r>
    <x v="0"/>
    <x v="8"/>
  </r>
  <r>
    <x v="0"/>
    <x v="5"/>
  </r>
  <r>
    <x v="0"/>
    <x v="19"/>
  </r>
  <r>
    <x v="0"/>
    <x v="43"/>
  </r>
  <r>
    <x v="0"/>
    <x v="71"/>
  </r>
  <r>
    <x v="0"/>
    <x v="72"/>
  </r>
  <r>
    <x v="0"/>
    <x v="34"/>
  </r>
  <r>
    <x v="0"/>
    <x v="18"/>
  </r>
  <r>
    <x v="0"/>
    <x v="32"/>
  </r>
  <r>
    <x v="0"/>
    <x v="59"/>
  </r>
  <r>
    <x v="0"/>
    <x v="73"/>
  </r>
  <r>
    <x v="0"/>
    <x v="36"/>
  </r>
  <r>
    <x v="0"/>
    <x v="59"/>
  </r>
  <r>
    <x v="0"/>
    <x v="74"/>
  </r>
  <r>
    <x v="0"/>
    <x v="33"/>
  </r>
  <r>
    <x v="0"/>
    <x v="21"/>
  </r>
  <r>
    <x v="0"/>
    <x v="40"/>
  </r>
  <r>
    <x v="0"/>
    <x v="48"/>
  </r>
  <r>
    <x v="0"/>
    <x v="70"/>
  </r>
  <r>
    <x v="0"/>
    <x v="57"/>
  </r>
  <r>
    <x v="0"/>
    <x v="75"/>
  </r>
  <r>
    <x v="0"/>
    <x v="11"/>
  </r>
  <r>
    <x v="0"/>
    <x v="71"/>
  </r>
  <r>
    <x v="0"/>
    <x v="7"/>
  </r>
  <r>
    <x v="0"/>
    <x v="2"/>
  </r>
  <r>
    <x v="0"/>
    <x v="59"/>
  </r>
  <r>
    <x v="0"/>
    <x v="76"/>
  </r>
  <r>
    <x v="0"/>
    <x v="77"/>
  </r>
  <r>
    <x v="0"/>
    <x v="78"/>
  </r>
  <r>
    <x v="0"/>
    <x v="55"/>
  </r>
  <r>
    <x v="0"/>
    <x v="14"/>
  </r>
  <r>
    <x v="0"/>
    <x v="60"/>
  </r>
  <r>
    <x v="0"/>
    <x v="24"/>
  </r>
  <r>
    <x v="0"/>
    <x v="79"/>
  </r>
  <r>
    <x v="0"/>
    <x v="74"/>
  </r>
  <r>
    <x v="0"/>
    <x v="30"/>
  </r>
  <r>
    <x v="0"/>
    <x v="67"/>
  </r>
  <r>
    <x v="0"/>
    <x v="60"/>
  </r>
  <r>
    <x v="0"/>
    <x v="53"/>
  </r>
  <r>
    <x v="0"/>
    <x v="43"/>
  </r>
  <r>
    <x v="0"/>
    <x v="80"/>
  </r>
  <r>
    <x v="0"/>
    <x v="8"/>
  </r>
  <r>
    <x v="0"/>
    <x v="44"/>
  </r>
  <r>
    <x v="0"/>
    <x v="44"/>
  </r>
  <r>
    <x v="0"/>
    <x v="23"/>
  </r>
  <r>
    <x v="0"/>
    <x v="59"/>
  </r>
  <r>
    <x v="0"/>
    <x v="29"/>
  </r>
  <r>
    <x v="0"/>
    <x v="42"/>
  </r>
  <r>
    <x v="0"/>
    <x v="45"/>
  </r>
  <r>
    <x v="0"/>
    <x v="3"/>
  </r>
  <r>
    <x v="0"/>
    <x v="63"/>
  </r>
  <r>
    <x v="0"/>
    <x v="9"/>
  </r>
  <r>
    <x v="0"/>
    <x v="2"/>
  </r>
  <r>
    <x v="0"/>
    <x v="20"/>
  </r>
  <r>
    <x v="0"/>
    <x v="81"/>
  </r>
  <r>
    <x v="0"/>
    <x v="80"/>
  </r>
  <r>
    <x v="0"/>
    <x v="81"/>
  </r>
  <r>
    <x v="0"/>
    <x v="46"/>
  </r>
  <r>
    <x v="0"/>
    <x v="42"/>
  </r>
  <r>
    <x v="0"/>
    <x v="26"/>
  </r>
  <r>
    <x v="0"/>
    <x v="26"/>
  </r>
  <r>
    <x v="0"/>
    <x v="52"/>
  </r>
  <r>
    <x v="0"/>
    <x v="67"/>
  </r>
  <r>
    <x v="0"/>
    <x v="6"/>
  </r>
  <r>
    <x v="0"/>
    <x v="19"/>
  </r>
  <r>
    <x v="0"/>
    <x v="7"/>
  </r>
  <r>
    <x v="0"/>
    <x v="6"/>
  </r>
  <r>
    <x v="0"/>
    <x v="32"/>
  </r>
  <r>
    <x v="0"/>
    <x v="45"/>
  </r>
  <r>
    <x v="0"/>
    <x v="13"/>
  </r>
  <r>
    <x v="0"/>
    <x v="82"/>
  </r>
  <r>
    <x v="0"/>
    <x v="83"/>
  </r>
  <r>
    <x v="0"/>
    <x v="68"/>
  </r>
  <r>
    <x v="0"/>
    <x v="78"/>
  </r>
  <r>
    <x v="0"/>
    <x v="7"/>
  </r>
  <r>
    <x v="0"/>
    <x v="20"/>
  </r>
  <r>
    <x v="0"/>
    <x v="27"/>
  </r>
  <r>
    <x v="0"/>
    <x v="17"/>
  </r>
  <r>
    <x v="0"/>
    <x v="29"/>
  </r>
  <r>
    <x v="0"/>
    <x v="64"/>
  </r>
  <r>
    <x v="0"/>
    <x v="5"/>
  </r>
  <r>
    <x v="0"/>
    <x v="77"/>
  </r>
  <r>
    <x v="0"/>
    <x v="30"/>
  </r>
  <r>
    <x v="0"/>
    <x v="84"/>
  </r>
  <r>
    <x v="0"/>
    <x v="85"/>
  </r>
  <r>
    <x v="0"/>
    <x v="80"/>
  </r>
  <r>
    <x v="0"/>
    <x v="1"/>
  </r>
  <r>
    <x v="0"/>
    <x v="19"/>
  </r>
  <r>
    <x v="0"/>
    <x v="86"/>
  </r>
  <r>
    <x v="0"/>
    <x v="57"/>
  </r>
  <r>
    <x v="0"/>
    <x v="35"/>
  </r>
  <r>
    <x v="0"/>
    <x v="0"/>
  </r>
  <r>
    <x v="0"/>
    <x v="31"/>
  </r>
  <r>
    <x v="0"/>
    <x v="75"/>
  </r>
  <r>
    <x v="0"/>
    <x v="63"/>
  </r>
  <r>
    <x v="0"/>
    <x v="3"/>
  </r>
  <r>
    <x v="0"/>
    <x v="45"/>
  </r>
  <r>
    <x v="0"/>
    <x v="1"/>
  </r>
  <r>
    <x v="0"/>
    <x v="36"/>
  </r>
  <r>
    <x v="0"/>
    <x v="54"/>
  </r>
  <r>
    <x v="0"/>
    <x v="33"/>
  </r>
  <r>
    <x v="0"/>
    <x v="41"/>
  </r>
  <r>
    <x v="0"/>
    <x v="32"/>
  </r>
  <r>
    <x v="0"/>
    <x v="50"/>
  </r>
  <r>
    <x v="0"/>
    <x v="6"/>
  </r>
  <r>
    <x v="0"/>
    <x v="56"/>
  </r>
  <r>
    <x v="0"/>
    <x v="6"/>
  </r>
  <r>
    <x v="0"/>
    <x v="57"/>
  </r>
  <r>
    <x v="0"/>
    <x v="40"/>
  </r>
  <r>
    <x v="0"/>
    <x v="27"/>
  </r>
  <r>
    <x v="0"/>
    <x v="38"/>
  </r>
  <r>
    <x v="0"/>
    <x v="57"/>
  </r>
  <r>
    <x v="0"/>
    <x v="77"/>
  </r>
  <r>
    <x v="0"/>
    <x v="87"/>
  </r>
  <r>
    <x v="0"/>
    <x v="6"/>
  </r>
  <r>
    <x v="0"/>
    <x v="19"/>
  </r>
  <r>
    <x v="0"/>
    <x v="88"/>
  </r>
  <r>
    <x v="0"/>
    <x v="11"/>
  </r>
  <r>
    <x v="0"/>
    <x v="49"/>
  </r>
  <r>
    <x v="0"/>
    <x v="44"/>
  </r>
  <r>
    <x v="0"/>
    <x v="35"/>
  </r>
  <r>
    <x v="0"/>
    <x v="67"/>
  </r>
  <r>
    <x v="0"/>
    <x v="17"/>
  </r>
  <r>
    <x v="0"/>
    <x v="9"/>
  </r>
  <r>
    <x v="0"/>
    <x v="24"/>
  </r>
  <r>
    <x v="0"/>
    <x v="88"/>
  </r>
  <r>
    <x v="0"/>
    <x v="28"/>
  </r>
  <r>
    <x v="0"/>
    <x v="8"/>
  </r>
  <r>
    <x v="0"/>
    <x v="85"/>
  </r>
  <r>
    <x v="0"/>
    <x v="89"/>
  </r>
  <r>
    <x v="0"/>
    <x v="19"/>
  </r>
  <r>
    <x v="0"/>
    <x v="63"/>
  </r>
  <r>
    <x v="0"/>
    <x v="42"/>
  </r>
  <r>
    <x v="0"/>
    <x v="13"/>
  </r>
  <r>
    <x v="0"/>
    <x v="23"/>
  </r>
  <r>
    <x v="0"/>
    <x v="78"/>
  </r>
  <r>
    <x v="0"/>
    <x v="9"/>
  </r>
  <r>
    <x v="0"/>
    <x v="90"/>
  </r>
  <r>
    <x v="0"/>
    <x v="70"/>
  </r>
  <r>
    <x v="0"/>
    <x v="49"/>
  </r>
  <r>
    <x v="0"/>
    <x v="86"/>
  </r>
  <r>
    <x v="0"/>
    <x v="27"/>
  </r>
  <r>
    <x v="0"/>
    <x v="62"/>
  </r>
  <r>
    <x v="0"/>
    <x v="30"/>
  </r>
  <r>
    <x v="0"/>
    <x v="7"/>
  </r>
  <r>
    <x v="0"/>
    <x v="74"/>
  </r>
  <r>
    <x v="0"/>
    <x v="44"/>
  </r>
  <r>
    <x v="0"/>
    <x v="50"/>
  </r>
  <r>
    <x v="0"/>
    <x v="14"/>
  </r>
  <r>
    <x v="0"/>
    <x v="31"/>
  </r>
  <r>
    <x v="0"/>
    <x v="14"/>
  </r>
  <r>
    <x v="0"/>
    <x v="79"/>
  </r>
  <r>
    <x v="0"/>
    <x v="54"/>
  </r>
  <r>
    <x v="0"/>
    <x v="80"/>
  </r>
  <r>
    <x v="0"/>
    <x v="91"/>
  </r>
  <r>
    <x v="0"/>
    <x v="10"/>
  </r>
  <r>
    <x v="0"/>
    <x v="18"/>
  </r>
  <r>
    <x v="0"/>
    <x v="45"/>
  </r>
  <r>
    <x v="0"/>
    <x v="55"/>
  </r>
  <r>
    <x v="0"/>
    <x v="86"/>
  </r>
  <r>
    <x v="0"/>
    <x v="23"/>
  </r>
  <r>
    <x v="0"/>
    <x v="70"/>
  </r>
  <r>
    <x v="0"/>
    <x v="5"/>
  </r>
  <r>
    <x v="0"/>
    <x v="80"/>
  </r>
  <r>
    <x v="0"/>
    <x v="42"/>
  </r>
  <r>
    <x v="0"/>
    <x v="3"/>
  </r>
  <r>
    <x v="0"/>
    <x v="26"/>
  </r>
  <r>
    <x v="0"/>
    <x v="31"/>
  </r>
  <r>
    <x v="0"/>
    <x v="88"/>
  </r>
  <r>
    <x v="0"/>
    <x v="82"/>
  </r>
  <r>
    <x v="0"/>
    <x v="15"/>
  </r>
  <r>
    <x v="0"/>
    <x v="23"/>
  </r>
  <r>
    <x v="0"/>
    <x v="27"/>
  </r>
  <r>
    <x v="0"/>
    <x v="17"/>
  </r>
  <r>
    <x v="0"/>
    <x v="5"/>
  </r>
  <r>
    <x v="0"/>
    <x v="36"/>
  </r>
  <r>
    <x v="0"/>
    <x v="26"/>
  </r>
  <r>
    <x v="0"/>
    <x v="39"/>
  </r>
  <r>
    <x v="0"/>
    <x v="26"/>
  </r>
  <r>
    <x v="0"/>
    <x v="21"/>
  </r>
  <r>
    <x v="0"/>
    <x v="52"/>
  </r>
  <r>
    <x v="0"/>
    <x v="59"/>
  </r>
  <r>
    <x v="0"/>
    <x v="61"/>
  </r>
  <r>
    <x v="0"/>
    <x v="40"/>
  </r>
  <r>
    <x v="0"/>
    <x v="52"/>
  </r>
  <r>
    <x v="0"/>
    <x v="92"/>
  </r>
  <r>
    <x v="0"/>
    <x v="55"/>
  </r>
  <r>
    <x v="0"/>
    <x v="9"/>
  </r>
  <r>
    <x v="0"/>
    <x v="46"/>
  </r>
  <r>
    <x v="0"/>
    <x v="78"/>
  </r>
  <r>
    <x v="0"/>
    <x v="80"/>
  </r>
  <r>
    <x v="0"/>
    <x v="81"/>
  </r>
  <r>
    <x v="0"/>
    <x v="69"/>
  </r>
  <r>
    <x v="0"/>
    <x v="41"/>
  </r>
  <r>
    <x v="0"/>
    <x v="91"/>
  </r>
  <r>
    <x v="0"/>
    <x v="55"/>
  </r>
  <r>
    <x v="0"/>
    <x v="8"/>
  </r>
  <r>
    <x v="0"/>
    <x v="21"/>
  </r>
  <r>
    <x v="0"/>
    <x v="67"/>
  </r>
  <r>
    <x v="0"/>
    <x v="51"/>
  </r>
  <r>
    <x v="0"/>
    <x v="79"/>
  </r>
  <r>
    <x v="0"/>
    <x v="69"/>
  </r>
  <r>
    <x v="0"/>
    <x v="0"/>
  </r>
  <r>
    <x v="0"/>
    <x v="68"/>
  </r>
  <r>
    <x v="0"/>
    <x v="77"/>
  </r>
  <r>
    <x v="0"/>
    <x v="65"/>
  </r>
  <r>
    <x v="0"/>
    <x v="91"/>
  </r>
  <r>
    <x v="0"/>
    <x v="25"/>
  </r>
  <r>
    <x v="0"/>
    <x v="59"/>
  </r>
  <r>
    <x v="0"/>
    <x v="91"/>
  </r>
  <r>
    <x v="0"/>
    <x v="38"/>
  </r>
  <r>
    <x v="0"/>
    <x v="13"/>
  </r>
  <r>
    <x v="0"/>
    <x v="82"/>
  </r>
  <r>
    <x v="0"/>
    <x v="5"/>
  </r>
  <r>
    <x v="0"/>
    <x v="50"/>
  </r>
  <r>
    <x v="0"/>
    <x v="93"/>
  </r>
  <r>
    <x v="0"/>
    <x v="10"/>
  </r>
  <r>
    <x v="0"/>
    <x v="85"/>
  </r>
  <r>
    <x v="0"/>
    <x v="24"/>
  </r>
  <r>
    <x v="0"/>
    <x v="0"/>
  </r>
  <r>
    <x v="0"/>
    <x v="94"/>
  </r>
  <r>
    <x v="0"/>
    <x v="48"/>
  </r>
  <r>
    <x v="0"/>
    <x v="59"/>
  </r>
  <r>
    <x v="0"/>
    <x v="40"/>
  </r>
  <r>
    <x v="0"/>
    <x v="33"/>
  </r>
  <r>
    <x v="0"/>
    <x v="70"/>
  </r>
  <r>
    <x v="0"/>
    <x v="58"/>
  </r>
  <r>
    <x v="0"/>
    <x v="71"/>
  </r>
  <r>
    <x v="0"/>
    <x v="23"/>
  </r>
  <r>
    <x v="0"/>
    <x v="22"/>
  </r>
  <r>
    <x v="0"/>
    <x v="34"/>
  </r>
  <r>
    <x v="0"/>
    <x v="53"/>
  </r>
  <r>
    <x v="0"/>
    <x v="8"/>
  </r>
  <r>
    <x v="0"/>
    <x v="47"/>
  </r>
  <r>
    <x v="0"/>
    <x v="36"/>
  </r>
  <r>
    <x v="0"/>
    <x v="55"/>
  </r>
  <r>
    <x v="0"/>
    <x v="13"/>
  </r>
  <r>
    <x v="0"/>
    <x v="93"/>
  </r>
  <r>
    <x v="0"/>
    <x v="37"/>
  </r>
  <r>
    <x v="0"/>
    <x v="67"/>
  </r>
  <r>
    <x v="0"/>
    <x v="52"/>
  </r>
  <r>
    <x v="0"/>
    <x v="11"/>
  </r>
  <r>
    <x v="0"/>
    <x v="33"/>
  </r>
  <r>
    <x v="0"/>
    <x v="58"/>
  </r>
  <r>
    <x v="0"/>
    <x v="68"/>
  </r>
  <r>
    <x v="0"/>
    <x v="75"/>
  </r>
  <r>
    <x v="0"/>
    <x v="16"/>
  </r>
  <r>
    <x v="0"/>
    <x v="37"/>
  </r>
  <r>
    <x v="0"/>
    <x v="51"/>
  </r>
  <r>
    <x v="0"/>
    <x v="57"/>
  </r>
  <r>
    <x v="0"/>
    <x v="48"/>
  </r>
  <r>
    <x v="0"/>
    <x v="75"/>
  </r>
  <r>
    <x v="0"/>
    <x v="42"/>
  </r>
  <r>
    <x v="0"/>
    <x v="94"/>
  </r>
  <r>
    <x v="0"/>
    <x v="51"/>
  </r>
  <r>
    <x v="0"/>
    <x v="32"/>
  </r>
  <r>
    <x v="0"/>
    <x v="80"/>
  </r>
  <r>
    <x v="0"/>
    <x v="3"/>
  </r>
  <r>
    <x v="0"/>
    <x v="4"/>
  </r>
  <r>
    <x v="0"/>
    <x v="28"/>
  </r>
  <r>
    <x v="0"/>
    <x v="13"/>
  </r>
  <r>
    <x v="0"/>
    <x v="26"/>
  </r>
  <r>
    <x v="0"/>
    <x v="46"/>
  </r>
  <r>
    <x v="0"/>
    <x v="55"/>
  </r>
  <r>
    <x v="0"/>
    <x v="61"/>
  </r>
  <r>
    <x v="0"/>
    <x v="89"/>
  </r>
  <r>
    <x v="0"/>
    <x v="91"/>
  </r>
  <r>
    <x v="0"/>
    <x v="92"/>
  </r>
  <r>
    <x v="0"/>
    <x v="1"/>
  </r>
  <r>
    <x v="0"/>
    <x v="33"/>
  </r>
  <r>
    <x v="0"/>
    <x v="63"/>
  </r>
  <r>
    <x v="0"/>
    <x v="4"/>
  </r>
  <r>
    <x v="0"/>
    <x v="54"/>
  </r>
  <r>
    <x v="0"/>
    <x v="7"/>
  </r>
  <r>
    <x v="0"/>
    <x v="31"/>
  </r>
  <r>
    <x v="0"/>
    <x v="35"/>
  </r>
  <r>
    <x v="0"/>
    <x v="61"/>
  </r>
  <r>
    <x v="0"/>
    <x v="32"/>
  </r>
  <r>
    <x v="0"/>
    <x v="95"/>
  </r>
  <r>
    <x v="0"/>
    <x v="51"/>
  </r>
  <r>
    <x v="0"/>
    <x v="96"/>
  </r>
  <r>
    <x v="0"/>
    <x v="69"/>
  </r>
  <r>
    <x v="0"/>
    <x v="66"/>
  </r>
  <r>
    <x v="0"/>
    <x v="80"/>
  </r>
  <r>
    <x v="0"/>
    <x v="59"/>
  </r>
  <r>
    <x v="0"/>
    <x v="24"/>
  </r>
  <r>
    <x v="0"/>
    <x v="70"/>
  </r>
  <r>
    <x v="0"/>
    <x v="69"/>
  </r>
  <r>
    <x v="0"/>
    <x v="29"/>
  </r>
  <r>
    <x v="0"/>
    <x v="7"/>
  </r>
  <r>
    <x v="0"/>
    <x v="57"/>
  </r>
  <r>
    <x v="0"/>
    <x v="6"/>
  </r>
  <r>
    <x v="0"/>
    <x v="0"/>
  </r>
  <r>
    <x v="0"/>
    <x v="1"/>
  </r>
  <r>
    <x v="0"/>
    <x v="42"/>
  </r>
  <r>
    <x v="0"/>
    <x v="49"/>
  </r>
  <r>
    <x v="0"/>
    <x v="50"/>
  </r>
  <r>
    <x v="0"/>
    <x v="19"/>
  </r>
  <r>
    <x v="0"/>
    <x v="61"/>
  </r>
  <r>
    <x v="0"/>
    <x v="54"/>
  </r>
  <r>
    <x v="0"/>
    <x v="76"/>
  </r>
  <r>
    <x v="0"/>
    <x v="23"/>
  </r>
  <r>
    <x v="0"/>
    <x v="64"/>
  </r>
  <r>
    <x v="0"/>
    <x v="1"/>
  </r>
  <r>
    <x v="0"/>
    <x v="58"/>
  </r>
  <r>
    <x v="0"/>
    <x v="60"/>
  </r>
  <r>
    <x v="0"/>
    <x v="54"/>
  </r>
  <r>
    <x v="0"/>
    <x v="64"/>
  </r>
  <r>
    <x v="0"/>
    <x v="62"/>
  </r>
  <r>
    <x v="0"/>
    <x v="31"/>
  </r>
  <r>
    <x v="0"/>
    <x v="21"/>
  </r>
  <r>
    <x v="0"/>
    <x v="34"/>
  </r>
  <r>
    <x v="0"/>
    <x v="26"/>
  </r>
  <r>
    <x v="0"/>
    <x v="49"/>
  </r>
  <r>
    <x v="0"/>
    <x v="17"/>
  </r>
  <r>
    <x v="0"/>
    <x v="1"/>
  </r>
  <r>
    <x v="0"/>
    <x v="50"/>
  </r>
  <r>
    <x v="0"/>
    <x v="63"/>
  </r>
  <r>
    <x v="0"/>
    <x v="66"/>
  </r>
  <r>
    <x v="0"/>
    <x v="46"/>
  </r>
  <r>
    <x v="0"/>
    <x v="66"/>
  </r>
  <r>
    <x v="0"/>
    <x v="71"/>
  </r>
  <r>
    <x v="0"/>
    <x v="56"/>
  </r>
  <r>
    <x v="0"/>
    <x v="60"/>
  </r>
  <r>
    <x v="0"/>
    <x v="48"/>
  </r>
  <r>
    <x v="0"/>
    <x v="22"/>
  </r>
  <r>
    <x v="0"/>
    <x v="77"/>
  </r>
  <r>
    <x v="0"/>
    <x v="32"/>
  </r>
  <r>
    <x v="0"/>
    <x v="27"/>
  </r>
  <r>
    <x v="0"/>
    <x v="86"/>
  </r>
  <r>
    <x v="0"/>
    <x v="31"/>
  </r>
  <r>
    <x v="0"/>
    <x v="28"/>
  </r>
  <r>
    <x v="0"/>
    <x v="16"/>
  </r>
  <r>
    <x v="0"/>
    <x v="96"/>
  </r>
  <r>
    <x v="0"/>
    <x v="62"/>
  </r>
  <r>
    <x v="0"/>
    <x v="17"/>
  </r>
  <r>
    <x v="0"/>
    <x v="38"/>
  </r>
  <r>
    <x v="0"/>
    <x v="56"/>
  </r>
  <r>
    <x v="0"/>
    <x v="97"/>
  </r>
  <r>
    <x v="0"/>
    <x v="50"/>
  </r>
  <r>
    <x v="0"/>
    <x v="54"/>
  </r>
  <r>
    <x v="0"/>
    <x v="24"/>
  </r>
  <r>
    <x v="0"/>
    <x v="43"/>
  </r>
  <r>
    <x v="0"/>
    <x v="42"/>
  </r>
  <r>
    <x v="0"/>
    <x v="50"/>
  </r>
  <r>
    <x v="0"/>
    <x v="59"/>
  </r>
  <r>
    <x v="0"/>
    <x v="0"/>
  </r>
  <r>
    <x v="0"/>
    <x v="0"/>
  </r>
  <r>
    <x v="0"/>
    <x v="36"/>
  </r>
  <r>
    <x v="0"/>
    <x v="16"/>
  </r>
  <r>
    <x v="0"/>
    <x v="29"/>
  </r>
  <r>
    <x v="0"/>
    <x v="23"/>
  </r>
  <r>
    <x v="0"/>
    <x v="48"/>
  </r>
  <r>
    <x v="0"/>
    <x v="1"/>
  </r>
  <r>
    <x v="0"/>
    <x v="69"/>
  </r>
  <r>
    <x v="0"/>
    <x v="40"/>
  </r>
  <r>
    <x v="0"/>
    <x v="23"/>
  </r>
  <r>
    <x v="0"/>
    <x v="64"/>
  </r>
  <r>
    <x v="0"/>
    <x v="16"/>
  </r>
  <r>
    <x v="1"/>
    <x v="56"/>
  </r>
  <r>
    <x v="1"/>
    <x v="38"/>
  </r>
  <r>
    <x v="1"/>
    <x v="14"/>
  </r>
  <r>
    <x v="1"/>
    <x v="87"/>
  </r>
  <r>
    <x v="1"/>
    <x v="37"/>
  </r>
  <r>
    <x v="1"/>
    <x v="95"/>
  </r>
  <r>
    <x v="1"/>
    <x v="75"/>
  </r>
  <r>
    <x v="1"/>
    <x v="23"/>
  </r>
  <r>
    <x v="1"/>
    <x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FF662C-2E91-44A3-B644-63186D4C4BC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14" firstHeaderRow="1" firstDataRow="1" firstDataCol="1"/>
  <pivotFields count="11">
    <pivotField numFmtId="14" showAll="0"/>
    <pivotField numFmtId="1" showAll="0">
      <items count="3">
        <item x="0"/>
        <item h="1" x="1"/>
        <item t="default"/>
      </items>
    </pivotField>
    <pivotField axis="axisRow" numFmtId="1" showAll="0">
      <items count="13">
        <item x="0"/>
        <item x="1"/>
        <item x="2"/>
        <item x="3"/>
        <item x="4"/>
        <item x="5"/>
        <item x="6"/>
        <item x="7"/>
        <item x="8"/>
        <item x="9"/>
        <item x="10"/>
        <item x="11"/>
        <item t="default"/>
      </items>
    </pivotField>
    <pivotField showAll="0"/>
    <pivotField showAll="0"/>
    <pivotField showAll="0"/>
    <pivotField showAll="0"/>
    <pivotField showAll="0"/>
    <pivotField dataField="1" numFmtId="164" showAll="0"/>
    <pivotField showAll="0"/>
    <pivotField numFmtId="6"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164"/>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4B4EF1-72EE-4DDC-9443-A84D61FBDAC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74" firstHeaderRow="1" firstDataRow="1" firstDataCol="1"/>
  <pivotFields count="11">
    <pivotField numFmtId="14" showAll="0"/>
    <pivotField numFmtId="1" showAll="0"/>
    <pivotField numFmtId="1" showAll="0"/>
    <pivotField axis="axisRow" showAll="0" sortType="descending">
      <items count="99">
        <item x="37"/>
        <item x="60"/>
        <item x="42"/>
        <item x="41"/>
        <item x="12"/>
        <item x="97"/>
        <item x="67"/>
        <item x="44"/>
        <item x="75"/>
        <item x="24"/>
        <item x="13"/>
        <item x="96"/>
        <item x="20"/>
        <item x="83"/>
        <item x="70"/>
        <item x="48"/>
        <item x="43"/>
        <item x="50"/>
        <item x="73"/>
        <item x="40"/>
        <item x="28"/>
        <item x="78"/>
        <item x="69"/>
        <item x="77"/>
        <item x="94"/>
        <item x="16"/>
        <item x="86"/>
        <item x="2"/>
        <item x="8"/>
        <item x="68"/>
        <item x="31"/>
        <item x="9"/>
        <item x="33"/>
        <item x="82"/>
        <item x="76"/>
        <item x="22"/>
        <item x="63"/>
        <item x="53"/>
        <item x="52"/>
        <item x="38"/>
        <item x="39"/>
        <item x="65"/>
        <item x="87"/>
        <item x="29"/>
        <item x="45"/>
        <item x="55"/>
        <item x="49"/>
        <item x="1"/>
        <item x="56"/>
        <item x="72"/>
        <item x="79"/>
        <item x="26"/>
        <item x="85"/>
        <item x="18"/>
        <item x="58"/>
        <item x="74"/>
        <item x="23"/>
        <item x="59"/>
        <item x="30"/>
        <item x="57"/>
        <item x="0"/>
        <item x="34"/>
        <item x="62"/>
        <item x="90"/>
        <item x="95"/>
        <item x="92"/>
        <item x="84"/>
        <item x="32"/>
        <item x="91"/>
        <item x="47"/>
        <item x="89"/>
        <item x="19"/>
        <item x="4"/>
        <item x="71"/>
        <item x="10"/>
        <item x="80"/>
        <item x="25"/>
        <item x="6"/>
        <item x="15"/>
        <item x="35"/>
        <item x="54"/>
        <item x="7"/>
        <item x="64"/>
        <item x="88"/>
        <item x="66"/>
        <item x="27"/>
        <item x="3"/>
        <item x="17"/>
        <item x="5"/>
        <item x="93"/>
        <item x="14"/>
        <item x="81"/>
        <item x="11"/>
        <item x="46"/>
        <item x="36"/>
        <item x="21"/>
        <item x="61"/>
        <item x="51"/>
        <item t="default"/>
      </items>
      <autoSortScope>
        <pivotArea dataOnly="0" outline="0" fieldPosition="0">
          <references count="1">
            <reference field="4294967294" count="1" selected="0">
              <x v="0"/>
            </reference>
          </references>
        </pivotArea>
      </autoSortScope>
    </pivotField>
    <pivotField showAll="0"/>
    <pivotField showAll="0">
      <items count="4">
        <item h="1" x="1"/>
        <item h="1" x="0"/>
        <item x="2"/>
        <item t="default"/>
      </items>
    </pivotField>
    <pivotField showAll="0"/>
    <pivotField showAll="0"/>
    <pivotField dataField="1" numFmtId="164" showAll="0"/>
    <pivotField showAll="0"/>
    <pivotField numFmtId="6" showAll="0"/>
  </pivotFields>
  <rowFields count="1">
    <field x="3"/>
  </rowFields>
  <rowItems count="73">
    <i>
      <x v="19"/>
    </i>
    <i>
      <x v="57"/>
    </i>
    <i>
      <x v="75"/>
    </i>
    <i>
      <x v="60"/>
    </i>
    <i>
      <x v="47"/>
    </i>
    <i>
      <x v="56"/>
    </i>
    <i>
      <x v="8"/>
    </i>
    <i>
      <x v="58"/>
    </i>
    <i>
      <x v="95"/>
    </i>
    <i>
      <x v="2"/>
    </i>
    <i>
      <x v="93"/>
    </i>
    <i>
      <x v="85"/>
    </i>
    <i>
      <x v="72"/>
    </i>
    <i>
      <x v="15"/>
    </i>
    <i>
      <x v="81"/>
    </i>
    <i>
      <x v="90"/>
    </i>
    <i>
      <x v="27"/>
    </i>
    <i>
      <x v="14"/>
    </i>
    <i>
      <x v="43"/>
    </i>
    <i>
      <x v="17"/>
    </i>
    <i>
      <x v="77"/>
    </i>
    <i>
      <x v="38"/>
    </i>
    <i>
      <x v="94"/>
    </i>
    <i>
      <x v="80"/>
    </i>
    <i>
      <x v="20"/>
    </i>
    <i>
      <x v="31"/>
    </i>
    <i>
      <x v="45"/>
    </i>
    <i>
      <x v="61"/>
    </i>
    <i>
      <x v="26"/>
    </i>
    <i>
      <x v="28"/>
    </i>
    <i>
      <x v="10"/>
    </i>
    <i>
      <x v="73"/>
    </i>
    <i>
      <x v="84"/>
    </i>
    <i>
      <x v="44"/>
    </i>
    <i>
      <x v="67"/>
    </i>
    <i>
      <x v="7"/>
    </i>
    <i>
      <x v="82"/>
    </i>
    <i>
      <x v="87"/>
    </i>
    <i>
      <x v="53"/>
    </i>
    <i>
      <x v="92"/>
    </i>
    <i>
      <x v="36"/>
    </i>
    <i>
      <x v="76"/>
    </i>
    <i>
      <x v="63"/>
    </i>
    <i>
      <x v="55"/>
    </i>
    <i>
      <x v="46"/>
    </i>
    <i>
      <x v="29"/>
    </i>
    <i>
      <x v="9"/>
    </i>
    <i>
      <x v="64"/>
    </i>
    <i>
      <x v="1"/>
    </i>
    <i>
      <x v="3"/>
    </i>
    <i>
      <x v="23"/>
    </i>
    <i>
      <x v="25"/>
    </i>
    <i>
      <x v="34"/>
    </i>
    <i>
      <x v="88"/>
    </i>
    <i>
      <x v="70"/>
    </i>
    <i>
      <x v="86"/>
    </i>
    <i>
      <x v="71"/>
    </i>
    <i>
      <x v="78"/>
    </i>
    <i>
      <x v="13"/>
    </i>
    <i>
      <x v="37"/>
    </i>
    <i>
      <x v="66"/>
    </i>
    <i>
      <x v="40"/>
    </i>
    <i>
      <x v="6"/>
    </i>
    <i>
      <x v="51"/>
    </i>
    <i>
      <x v="48"/>
    </i>
    <i>
      <x v="21"/>
    </i>
    <i>
      <x v="50"/>
    </i>
    <i>
      <x v="30"/>
    </i>
    <i>
      <x v="59"/>
    </i>
    <i>
      <x v="41"/>
    </i>
    <i>
      <x v="22"/>
    </i>
    <i>
      <x v="32"/>
    </i>
    <i t="grand">
      <x/>
    </i>
  </rowItems>
  <colItems count="1">
    <i/>
  </colItems>
  <dataFields count="1">
    <dataField name="Sum of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5C7CEC-184D-401A-9B53-B27A9BB3EB3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3" firstHeaderRow="1" firstDataRow="1" firstDataCol="1"/>
  <pivotFields count="11">
    <pivotField numFmtId="14" showAll="0"/>
    <pivotField numFmtId="1" showAll="0"/>
    <pivotField numFmtId="1" showAll="0"/>
    <pivotField showAll="0"/>
    <pivotField showAll="0"/>
    <pivotField showAll="0">
      <items count="4">
        <item h="1" x="1"/>
        <item h="1" x="0"/>
        <item x="2"/>
        <item t="default"/>
      </items>
    </pivotField>
    <pivotField axis="axisRow" showAll="0">
      <items count="4">
        <item x="1"/>
        <item x="0"/>
        <item x="2"/>
        <item t="default"/>
      </items>
    </pivotField>
    <pivotField showAll="0"/>
    <pivotField dataField="1" numFmtId="164" showAll="0"/>
    <pivotField showAll="0"/>
    <pivotField numFmtId="6" showAll="0"/>
  </pivotFields>
  <rowFields count="1">
    <field x="6"/>
  </rowFields>
  <rowItems count="2">
    <i>
      <x v="2"/>
    </i>
    <i t="grand">
      <x/>
    </i>
  </rowItems>
  <colItems count="1">
    <i/>
  </colItems>
  <dataFields count="1">
    <dataField name="Sum of Sales" fld="8"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2A29E5-B706-4E7C-B0B6-0A318A5D91E8}"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A1:C4" firstHeaderRow="1" firstDataRow="2" firstDataCol="1"/>
  <pivotFields count="11">
    <pivotField numFmtId="14" showAll="0"/>
    <pivotField axis="axisRow" numFmtId="1" showAll="0">
      <items count="3">
        <item x="0"/>
        <item x="1"/>
        <item t="default"/>
      </items>
    </pivotField>
    <pivotField numFmtId="1" showAll="0"/>
    <pivotField showAll="0"/>
    <pivotField showAll="0"/>
    <pivotField axis="axisCol" showAll="0">
      <items count="4">
        <item h="1" x="1"/>
        <item h="1" x="0"/>
        <item x="2"/>
        <item t="default"/>
      </items>
    </pivotField>
    <pivotField showAll="0"/>
    <pivotField showAll="0"/>
    <pivotField dataField="1" numFmtId="164" showAll="0"/>
    <pivotField showAll="0"/>
    <pivotField numFmtId="6" showAll="0"/>
  </pivotFields>
  <rowFields count="1">
    <field x="1"/>
  </rowFields>
  <rowItems count="2">
    <i>
      <x/>
    </i>
    <i>
      <x v="1"/>
    </i>
  </rowItems>
  <colFields count="1">
    <field x="5"/>
  </colFields>
  <colItems count="2">
    <i>
      <x v="2"/>
    </i>
    <i t="grand">
      <x/>
    </i>
  </colItems>
  <dataFields count="1">
    <dataField name="Sum of Sales" fld="8" baseField="0" baseItem="0" numFmtId="164"/>
  </dataFields>
  <chartFormats count="3">
    <chartFormat chart="16" format="7" series="1">
      <pivotArea type="data" outline="0" fieldPosition="0">
        <references count="2">
          <reference field="4294967294" count="1" selected="0">
            <x v="0"/>
          </reference>
          <reference field="5" count="1" selected="0">
            <x v="0"/>
          </reference>
        </references>
      </pivotArea>
    </chartFormat>
    <chartFormat chart="16" format="8" series="1">
      <pivotArea type="data" outline="0" fieldPosition="0">
        <references count="2">
          <reference field="4294967294" count="1" selected="0">
            <x v="0"/>
          </reference>
          <reference field="5" count="1" selected="0">
            <x v="1"/>
          </reference>
        </references>
      </pivotArea>
    </chartFormat>
    <chartFormat chart="16" format="9"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244DB4-FADE-4E21-8547-75072EEA22A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2" firstHeaderRow="1" firstDataRow="1" firstDataCol="1"/>
  <pivotFields count="11">
    <pivotField numFmtId="14" showAll="0"/>
    <pivotField numFmtId="1" showAll="0"/>
    <pivotField numFmtId="1" showAll="0"/>
    <pivotField showAll="0"/>
    <pivotField axis="axisRow" showAll="0">
      <items count="11">
        <item x="8"/>
        <item x="6"/>
        <item x="2"/>
        <item x="9"/>
        <item x="5"/>
        <item x="1"/>
        <item x="0"/>
        <item x="4"/>
        <item x="7"/>
        <item x="3"/>
        <item t="default"/>
      </items>
    </pivotField>
    <pivotField showAll="0">
      <items count="4">
        <item h="1" x="1"/>
        <item h="1" x="0"/>
        <item x="2"/>
        <item t="default"/>
      </items>
    </pivotField>
    <pivotField showAll="0"/>
    <pivotField showAll="0"/>
    <pivotField dataField="1" numFmtId="164" showAll="0"/>
    <pivotField showAll="0"/>
    <pivotField numFmtId="6" showAll="0"/>
  </pivotFields>
  <rowFields count="1">
    <field x="4"/>
  </rowFields>
  <rowItems count="11">
    <i>
      <x/>
    </i>
    <i>
      <x v="1"/>
    </i>
    <i>
      <x v="2"/>
    </i>
    <i>
      <x v="3"/>
    </i>
    <i>
      <x v="4"/>
    </i>
    <i>
      <x v="5"/>
    </i>
    <i>
      <x v="6"/>
    </i>
    <i>
      <x v="7"/>
    </i>
    <i>
      <x v="8"/>
    </i>
    <i>
      <x v="9"/>
    </i>
    <i t="grand">
      <x/>
    </i>
  </rowItems>
  <colItems count="1">
    <i/>
  </colItems>
  <dataFields count="1">
    <dataField name="Sum of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FD9DAC-1F82-4A8B-BA4E-F999AF6EB28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numFmtId="1" showAll="0">
      <items count="3">
        <item x="0"/>
        <item x="1"/>
        <item t="default"/>
      </items>
    </pivotField>
    <pivotField dataField="1" showAll="0">
      <items count="99">
        <item x="37"/>
        <item x="60"/>
        <item x="42"/>
        <item x="41"/>
        <item x="12"/>
        <item x="97"/>
        <item x="67"/>
        <item x="44"/>
        <item x="75"/>
        <item x="24"/>
        <item x="13"/>
        <item x="96"/>
        <item x="20"/>
        <item x="83"/>
        <item x="70"/>
        <item x="48"/>
        <item x="43"/>
        <item x="50"/>
        <item x="73"/>
        <item x="40"/>
        <item x="28"/>
        <item x="78"/>
        <item x="69"/>
        <item x="77"/>
        <item x="94"/>
        <item x="16"/>
        <item x="86"/>
        <item x="2"/>
        <item x="8"/>
        <item x="68"/>
        <item x="31"/>
        <item x="9"/>
        <item x="33"/>
        <item x="82"/>
        <item x="76"/>
        <item x="22"/>
        <item x="63"/>
        <item x="53"/>
        <item x="52"/>
        <item x="38"/>
        <item x="39"/>
        <item x="65"/>
        <item x="87"/>
        <item x="29"/>
        <item x="45"/>
        <item x="55"/>
        <item x="49"/>
        <item x="1"/>
        <item x="56"/>
        <item x="72"/>
        <item x="79"/>
        <item x="26"/>
        <item x="85"/>
        <item x="18"/>
        <item x="58"/>
        <item x="74"/>
        <item x="23"/>
        <item x="59"/>
        <item x="30"/>
        <item x="57"/>
        <item x="0"/>
        <item x="34"/>
        <item x="62"/>
        <item x="90"/>
        <item x="95"/>
        <item x="92"/>
        <item x="84"/>
        <item x="32"/>
        <item x="91"/>
        <item x="47"/>
        <item x="89"/>
        <item x="19"/>
        <item x="4"/>
        <item x="71"/>
        <item x="10"/>
        <item x="80"/>
        <item x="25"/>
        <item x="6"/>
        <item x="15"/>
        <item x="35"/>
        <item x="54"/>
        <item x="7"/>
        <item x="64"/>
        <item x="88"/>
        <item x="66"/>
        <item x="27"/>
        <item x="3"/>
        <item x="17"/>
        <item x="5"/>
        <item x="93"/>
        <item x="14"/>
        <item x="81"/>
        <item x="11"/>
        <item x="46"/>
        <item x="36"/>
        <item x="21"/>
        <item x="61"/>
        <item x="51"/>
        <item t="default"/>
      </items>
    </pivotField>
  </pivotFields>
  <rowFields count="1">
    <field x="0"/>
  </rowFields>
  <rowItems count="3">
    <i>
      <x/>
    </i>
    <i>
      <x v="1"/>
    </i>
    <i t="grand">
      <x/>
    </i>
  </rowItems>
  <colItems count="1">
    <i/>
  </colItems>
  <dataFields count="1">
    <dataField name="Count of Customer name" fld="1" subtotal="count"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87C5C68-55D8-4ABF-A34C-881957B335BB}" sourceName="year">
  <pivotTables>
    <pivotTable tabId="8" name="PivotTable7"/>
  </pivotTables>
  <data>
    <tabular pivotCacheId="142433729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F505646-AFD5-4091-A093-EE1EF32C9CEB}" sourceName="Category">
  <pivotTables>
    <pivotTable tabId="10" name="PivotTable9"/>
    <pivotTable tabId="6" name="PivotTable5"/>
    <pivotTable tabId="7" name="PivotTable6"/>
    <pivotTable tabId="9" name="PivotTable8"/>
  </pivotTables>
  <data>
    <tabular pivotCacheId="1424337298">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53A4B32-6530-4450-8077-DE6881094BB2}"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36184F2-EFF1-4CEB-ABF8-662DFC8985BE}" cache="Slicer_year" caption="year" columnCount="2" style="SlicerStyleDark5" rowHeight="247650"/>
  <slicer name="Category" xr10:uid="{5EA81A7A-76C8-4FC3-8818-0E054CD0FA8D}" cache="Slicer_Category" caption="Category" columnCoun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B1C35B-CE7C-42C6-AF62-B32C802D67EE}" name="Table1" displayName="Table1" ref="A1:K501" totalsRowShown="0" headerRowDxfId="17" dataDxfId="16">
  <autoFilter ref="A1:K501" xr:uid="{DCB1C35B-CE7C-42C6-AF62-B32C802D67EE}"/>
  <sortState xmlns:xlrd2="http://schemas.microsoft.com/office/spreadsheetml/2017/richdata2" ref="A2:K501">
    <sortCondition ref="A1:A501"/>
  </sortState>
  <tableColumns count="11">
    <tableColumn id="1" xr3:uid="{BEC98EE6-9EB2-4CA0-B53C-12463C2F0D54}" name="Order Date" dataDxfId="15"/>
    <tableColumn id="14" xr3:uid="{50955A76-8882-4723-B61A-685DDD862503}" name="year" dataDxfId="14">
      <calculatedColumnFormula>YEAR(Table1[[#This Row],[Order Date]])</calculatedColumnFormula>
    </tableColumn>
    <tableColumn id="13" xr3:uid="{3DE6902E-9755-4B34-944D-84041900EFB3}" name="month" dataDxfId="13">
      <calculatedColumnFormula>MONTH(Table1[[#This Row],[Order Date]])</calculatedColumnFormula>
    </tableColumn>
    <tableColumn id="2" xr3:uid="{F4CBDA88-18EB-44C3-8ABC-06C8924DFF30}" name="Customer Name" dataDxfId="12"/>
    <tableColumn id="3" xr3:uid="{60706A2B-C81D-4BB7-B8B3-ED76B4584555}" name="State" dataDxfId="11"/>
    <tableColumn id="4" xr3:uid="{077B33B2-5F34-41CA-BF92-2F5A576E8EFE}" name="Category" dataDxfId="10"/>
    <tableColumn id="10" xr3:uid="{CF7E2539-5B1D-4BF6-A4BC-F52D196B9F56}" name="Sub-Category" dataDxfId="9"/>
    <tableColumn id="5" xr3:uid="{6F123791-BD0F-450B-B3A9-BEEB8592F456}" name="Product Name" dataDxfId="8"/>
    <tableColumn id="6" xr3:uid="{616C2A87-FDF6-4ED5-91A2-4BF8BC94DBAC}" name="Sales" dataDxfId="7"/>
    <tableColumn id="7" xr3:uid="{1372A36A-936A-4688-BC35-5043113968C7}" name="Quantity" dataDxfId="6"/>
    <tableColumn id="8" xr3:uid="{1AAFFC15-70AA-4757-85D4-C36E8FCEF436}" name="Profit"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901935-C234-4DA5-BAC1-0D5ACC164E46}" name="Table3" displayName="Table3" ref="A1:B501" totalsRowShown="0" headerRowBorderDxfId="4" tableBorderDxfId="3" totalsRowBorderDxfId="2">
  <autoFilter ref="A1:B501" xr:uid="{51901935-C234-4DA5-BAC1-0D5ACC164E46}"/>
  <tableColumns count="2">
    <tableColumn id="1" xr3:uid="{81A5DFD7-35BE-4EEC-BD63-AFD3F48DE943}" name="Year" dataDxfId="1"/>
    <tableColumn id="2" xr3:uid="{DDFA4752-868C-462D-B6B9-196C47A37B85}" name="Customer name"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D30C-E5E7-4770-94E0-39147197AD29}">
  <dimension ref="A1:B14"/>
  <sheetViews>
    <sheetView workbookViewId="0">
      <selection activeCell="O13" sqref="O13"/>
    </sheetView>
  </sheetViews>
  <sheetFormatPr defaultRowHeight="14.4" x14ac:dyDescent="0.3"/>
  <cols>
    <col min="1" max="1" width="12.44140625" bestFit="1" customWidth="1"/>
    <col min="2" max="2" width="11.5546875" bestFit="1" customWidth="1"/>
  </cols>
  <sheetData>
    <row r="1" spans="1:2" x14ac:dyDescent="0.3">
      <c r="A1" s="7" t="s">
        <v>139</v>
      </c>
      <c r="B1" t="s">
        <v>141</v>
      </c>
    </row>
    <row r="2" spans="1:2" x14ac:dyDescent="0.3">
      <c r="A2" s="11">
        <v>1</v>
      </c>
      <c r="B2" s="6">
        <v>31093.209999999995</v>
      </c>
    </row>
    <row r="3" spans="1:2" x14ac:dyDescent="0.3">
      <c r="A3" s="11">
        <v>2</v>
      </c>
      <c r="B3" s="6">
        <v>21724.39</v>
      </c>
    </row>
    <row r="4" spans="1:2" x14ac:dyDescent="0.3">
      <c r="A4" s="11">
        <v>3</v>
      </c>
      <c r="B4" s="6">
        <v>43229.87999999999</v>
      </c>
    </row>
    <row r="5" spans="1:2" x14ac:dyDescent="0.3">
      <c r="A5" s="11">
        <v>4</v>
      </c>
      <c r="B5" s="6">
        <v>29129.969999999998</v>
      </c>
    </row>
    <row r="6" spans="1:2" x14ac:dyDescent="0.3">
      <c r="A6" s="11">
        <v>5</v>
      </c>
      <c r="B6" s="6">
        <v>34921.880000000005</v>
      </c>
    </row>
    <row r="7" spans="1:2" x14ac:dyDescent="0.3">
      <c r="A7" s="11">
        <v>6</v>
      </c>
      <c r="B7" s="6">
        <v>30762.67</v>
      </c>
    </row>
    <row r="8" spans="1:2" x14ac:dyDescent="0.3">
      <c r="A8" s="11">
        <v>7</v>
      </c>
      <c r="B8" s="6">
        <v>27086.22</v>
      </c>
    </row>
    <row r="9" spans="1:2" x14ac:dyDescent="0.3">
      <c r="A9" s="11">
        <v>8</v>
      </c>
      <c r="B9" s="6">
        <v>45891.699999999975</v>
      </c>
    </row>
    <row r="10" spans="1:2" x14ac:dyDescent="0.3">
      <c r="A10" s="11">
        <v>9</v>
      </c>
      <c r="B10" s="6">
        <v>24200.050000000003</v>
      </c>
    </row>
    <row r="11" spans="1:2" x14ac:dyDescent="0.3">
      <c r="A11" s="11">
        <v>10</v>
      </c>
      <c r="B11" s="6">
        <v>23888.139999999996</v>
      </c>
    </row>
    <row r="12" spans="1:2" x14ac:dyDescent="0.3">
      <c r="A12" s="11">
        <v>11</v>
      </c>
      <c r="B12" s="6">
        <v>30164.54</v>
      </c>
    </row>
    <row r="13" spans="1:2" x14ac:dyDescent="0.3">
      <c r="A13" s="11">
        <v>12</v>
      </c>
      <c r="B13" s="6">
        <v>41156.320000000014</v>
      </c>
    </row>
    <row r="14" spans="1:2" x14ac:dyDescent="0.3">
      <c r="A14" s="11" t="s">
        <v>140</v>
      </c>
      <c r="B14" s="6">
        <v>383248.97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508AD-711A-4C55-9619-84C909E3CE1F}">
  <dimension ref="A1:D74"/>
  <sheetViews>
    <sheetView workbookViewId="0">
      <selection activeCell="N15" sqref="N15"/>
    </sheetView>
  </sheetViews>
  <sheetFormatPr defaultRowHeight="14.4" x14ac:dyDescent="0.3"/>
  <cols>
    <col min="1" max="1" width="12.88671875" bestFit="1" customWidth="1"/>
    <col min="2" max="2" width="11.5546875" bestFit="1" customWidth="1"/>
    <col min="3" max="3" width="11" bestFit="1" customWidth="1"/>
    <col min="4" max="4" width="8" bestFit="1" customWidth="1"/>
  </cols>
  <sheetData>
    <row r="1" spans="1:4" x14ac:dyDescent="0.3">
      <c r="A1" s="7" t="s">
        <v>139</v>
      </c>
      <c r="B1" t="s">
        <v>141</v>
      </c>
    </row>
    <row r="2" spans="1:4" x14ac:dyDescent="0.3">
      <c r="A2" s="8" t="s">
        <v>85</v>
      </c>
      <c r="B2" s="6">
        <v>4973.04</v>
      </c>
      <c r="C2" t="str" cm="1">
        <f t="array" ref="C2:D2">A2:B2</f>
        <v>Carol Black</v>
      </c>
      <c r="D2">
        <v>4973.04</v>
      </c>
    </row>
    <row r="3" spans="1:4" x14ac:dyDescent="0.3">
      <c r="A3" s="8" t="s">
        <v>104</v>
      </c>
      <c r="B3" s="6">
        <v>4262.04</v>
      </c>
      <c r="C3" t="str" cm="1">
        <f t="array" ref="C3:D3">A3:B3</f>
        <v>Frank White</v>
      </c>
      <c r="D3">
        <v>4262.04</v>
      </c>
    </row>
    <row r="4" spans="1:4" x14ac:dyDescent="0.3">
      <c r="A4" s="8" t="s">
        <v>100</v>
      </c>
      <c r="B4" s="6">
        <v>4073.8</v>
      </c>
      <c r="C4" t="str" cm="1">
        <f t="array" ref="C4:D4">A4:B4</f>
        <v>Hank Orange</v>
      </c>
      <c r="D4">
        <v>4073.8</v>
      </c>
    </row>
    <row r="5" spans="1:4" x14ac:dyDescent="0.3">
      <c r="A5" s="8" t="s">
        <v>68</v>
      </c>
      <c r="B5" s="6">
        <v>3738.75</v>
      </c>
      <c r="C5" t="str" cm="1">
        <f t="array" ref="C5:D5">A5:B5</f>
        <v>Grace Blue</v>
      </c>
      <c r="D5">
        <v>3738.75</v>
      </c>
    </row>
    <row r="6" spans="1:4" x14ac:dyDescent="0.3">
      <c r="A6" s="8" t="s">
        <v>96</v>
      </c>
      <c r="B6" s="6">
        <v>3395.17</v>
      </c>
      <c r="C6" t="str" cm="1">
        <f t="array" ref="C6:D6">A6:B6</f>
        <v>Eva White</v>
      </c>
      <c r="D6">
        <v>3395.17</v>
      </c>
    </row>
    <row r="7" spans="1:4" x14ac:dyDescent="0.3">
      <c r="A7" s="8" t="s">
        <v>87</v>
      </c>
      <c r="B7" s="6">
        <v>3360.7799999999997</v>
      </c>
    </row>
    <row r="8" spans="1:4" x14ac:dyDescent="0.3">
      <c r="A8" s="8" t="s">
        <v>83</v>
      </c>
      <c r="B8" s="6">
        <v>3326.38</v>
      </c>
    </row>
    <row r="9" spans="1:4" x14ac:dyDescent="0.3">
      <c r="A9" s="8" t="s">
        <v>44</v>
      </c>
      <c r="B9" s="6">
        <v>3237.4300000000003</v>
      </c>
    </row>
    <row r="10" spans="1:4" x14ac:dyDescent="0.3">
      <c r="A10" s="8" t="s">
        <v>21</v>
      </c>
      <c r="B10" s="6">
        <v>3126.24</v>
      </c>
    </row>
    <row r="11" spans="1:4" x14ac:dyDescent="0.3">
      <c r="A11" s="8" t="s">
        <v>38</v>
      </c>
      <c r="B11" s="6">
        <v>3100.54</v>
      </c>
    </row>
    <row r="12" spans="1:4" x14ac:dyDescent="0.3">
      <c r="A12" s="8" t="s">
        <v>33</v>
      </c>
      <c r="B12" s="6">
        <v>2928.87</v>
      </c>
    </row>
    <row r="13" spans="1:4" x14ac:dyDescent="0.3">
      <c r="A13" s="8" t="s">
        <v>99</v>
      </c>
      <c r="B13" s="6">
        <v>2711.37</v>
      </c>
    </row>
    <row r="14" spans="1:4" x14ac:dyDescent="0.3">
      <c r="A14" s="8" t="s">
        <v>122</v>
      </c>
      <c r="B14" s="6">
        <v>2668.19</v>
      </c>
    </row>
    <row r="15" spans="1:4" x14ac:dyDescent="0.3">
      <c r="A15" s="8" t="s">
        <v>88</v>
      </c>
      <c r="B15" s="6">
        <v>2655.74</v>
      </c>
    </row>
    <row r="16" spans="1:4" x14ac:dyDescent="0.3">
      <c r="A16" s="8" t="s">
        <v>93</v>
      </c>
      <c r="B16" s="6">
        <v>2613.3500000000004</v>
      </c>
    </row>
    <row r="17" spans="1:2" x14ac:dyDescent="0.3">
      <c r="A17" s="8" t="s">
        <v>82</v>
      </c>
      <c r="B17" s="6">
        <v>2609.0299999999997</v>
      </c>
    </row>
    <row r="18" spans="1:2" x14ac:dyDescent="0.3">
      <c r="A18" s="8" t="s">
        <v>126</v>
      </c>
      <c r="B18" s="6">
        <v>2515.16</v>
      </c>
    </row>
    <row r="19" spans="1:2" x14ac:dyDescent="0.3">
      <c r="A19" s="8" t="s">
        <v>78</v>
      </c>
      <c r="B19" s="6">
        <v>2390.4799999999996</v>
      </c>
    </row>
    <row r="20" spans="1:2" x14ac:dyDescent="0.3">
      <c r="A20" s="8" t="s">
        <v>36</v>
      </c>
      <c r="B20" s="6">
        <v>2326.83</v>
      </c>
    </row>
    <row r="21" spans="1:2" x14ac:dyDescent="0.3">
      <c r="A21" s="8" t="s">
        <v>50</v>
      </c>
      <c r="B21" s="6">
        <v>2276.9</v>
      </c>
    </row>
    <row r="22" spans="1:2" x14ac:dyDescent="0.3">
      <c r="A22" s="8" t="s">
        <v>43</v>
      </c>
      <c r="B22" s="6">
        <v>2106.1999999999998</v>
      </c>
    </row>
    <row r="23" spans="1:2" x14ac:dyDescent="0.3">
      <c r="A23" s="8" t="s">
        <v>110</v>
      </c>
      <c r="B23" s="6">
        <v>2087.06</v>
      </c>
    </row>
    <row r="24" spans="1:2" x14ac:dyDescent="0.3">
      <c r="A24" s="8" t="s">
        <v>79</v>
      </c>
      <c r="B24" s="6">
        <v>2080.04</v>
      </c>
    </row>
    <row r="25" spans="1:2" x14ac:dyDescent="0.3">
      <c r="A25" s="8" t="s">
        <v>132</v>
      </c>
      <c r="B25" s="6">
        <v>2072.2700000000004</v>
      </c>
    </row>
    <row r="26" spans="1:2" x14ac:dyDescent="0.3">
      <c r="A26" s="8" t="s">
        <v>52</v>
      </c>
      <c r="B26" s="6">
        <v>2059.29</v>
      </c>
    </row>
    <row r="27" spans="1:2" x14ac:dyDescent="0.3">
      <c r="A27" s="8" t="s">
        <v>54</v>
      </c>
      <c r="B27" s="6">
        <v>1977.46</v>
      </c>
    </row>
    <row r="28" spans="1:2" x14ac:dyDescent="0.3">
      <c r="A28" s="8" t="s">
        <v>67</v>
      </c>
      <c r="B28" s="6">
        <v>1865.71</v>
      </c>
    </row>
    <row r="29" spans="1:2" x14ac:dyDescent="0.3">
      <c r="A29" s="8" t="s">
        <v>84</v>
      </c>
      <c r="B29" s="6">
        <v>1600.6299999999999</v>
      </c>
    </row>
    <row r="30" spans="1:2" x14ac:dyDescent="0.3">
      <c r="A30" s="8" t="s">
        <v>55</v>
      </c>
      <c r="B30" s="6">
        <v>1599.94</v>
      </c>
    </row>
    <row r="31" spans="1:2" x14ac:dyDescent="0.3">
      <c r="A31" s="8" t="s">
        <v>59</v>
      </c>
      <c r="B31" s="6">
        <v>1492.04</v>
      </c>
    </row>
    <row r="32" spans="1:2" x14ac:dyDescent="0.3">
      <c r="A32" s="8" t="s">
        <v>95</v>
      </c>
      <c r="B32" s="6">
        <v>1473.96</v>
      </c>
    </row>
    <row r="33" spans="1:2" x14ac:dyDescent="0.3">
      <c r="A33" s="8" t="s">
        <v>62</v>
      </c>
      <c r="B33" s="6">
        <v>1462.32</v>
      </c>
    </row>
    <row r="34" spans="1:2" x14ac:dyDescent="0.3">
      <c r="A34" s="8" t="s">
        <v>103</v>
      </c>
      <c r="B34" s="6">
        <v>1433.56</v>
      </c>
    </row>
    <row r="35" spans="1:2" x14ac:dyDescent="0.3">
      <c r="A35" s="8" t="s">
        <v>75</v>
      </c>
      <c r="B35" s="6">
        <v>1373.91</v>
      </c>
    </row>
    <row r="36" spans="1:2" x14ac:dyDescent="0.3">
      <c r="A36" s="8" t="s">
        <v>66</v>
      </c>
      <c r="B36" s="6">
        <v>1342.1399999999999</v>
      </c>
    </row>
    <row r="37" spans="1:2" x14ac:dyDescent="0.3">
      <c r="A37" s="8" t="s">
        <v>98</v>
      </c>
      <c r="B37" s="6">
        <v>1321.97</v>
      </c>
    </row>
    <row r="38" spans="1:2" x14ac:dyDescent="0.3">
      <c r="A38" s="8" t="s">
        <v>8</v>
      </c>
      <c r="B38" s="6">
        <v>1288.79</v>
      </c>
    </row>
    <row r="39" spans="1:2" x14ac:dyDescent="0.3">
      <c r="A39" s="8" t="s">
        <v>112</v>
      </c>
      <c r="B39" s="6">
        <v>1257.3899999999999</v>
      </c>
    </row>
    <row r="40" spans="1:2" x14ac:dyDescent="0.3">
      <c r="A40" s="8" t="s">
        <v>109</v>
      </c>
      <c r="B40" s="6">
        <v>1256.49</v>
      </c>
    </row>
    <row r="41" spans="1:2" x14ac:dyDescent="0.3">
      <c r="A41" s="8" t="s">
        <v>61</v>
      </c>
      <c r="B41" s="6">
        <v>1239.95</v>
      </c>
    </row>
    <row r="42" spans="1:2" x14ac:dyDescent="0.3">
      <c r="A42" s="8" t="s">
        <v>74</v>
      </c>
      <c r="B42" s="6">
        <v>1223.7099999999998</v>
      </c>
    </row>
    <row r="43" spans="1:2" x14ac:dyDescent="0.3">
      <c r="A43" s="8" t="s">
        <v>101</v>
      </c>
      <c r="B43" s="6">
        <v>1221.22</v>
      </c>
    </row>
    <row r="44" spans="1:2" x14ac:dyDescent="0.3">
      <c r="A44" s="8" t="s">
        <v>111</v>
      </c>
      <c r="B44" s="6">
        <v>1185.01</v>
      </c>
    </row>
    <row r="45" spans="1:2" x14ac:dyDescent="0.3">
      <c r="A45" s="8" t="s">
        <v>30</v>
      </c>
      <c r="B45" s="6">
        <v>1141.42</v>
      </c>
    </row>
    <row r="46" spans="1:2" x14ac:dyDescent="0.3">
      <c r="A46" s="8" t="s">
        <v>46</v>
      </c>
      <c r="B46" s="6">
        <v>1031.0899999999999</v>
      </c>
    </row>
    <row r="47" spans="1:2" x14ac:dyDescent="0.3">
      <c r="A47" s="8" t="s">
        <v>131</v>
      </c>
      <c r="B47" s="6">
        <v>1001.29</v>
      </c>
    </row>
    <row r="48" spans="1:2" x14ac:dyDescent="0.3">
      <c r="A48" s="8" t="s">
        <v>56</v>
      </c>
      <c r="B48" s="6">
        <v>1000.3399999999999</v>
      </c>
    </row>
    <row r="49" spans="1:2" x14ac:dyDescent="0.3">
      <c r="A49" s="8" t="s">
        <v>129</v>
      </c>
      <c r="B49" s="6">
        <v>988.54</v>
      </c>
    </row>
    <row r="50" spans="1:2" x14ac:dyDescent="0.3">
      <c r="A50" s="8" t="s">
        <v>57</v>
      </c>
      <c r="B50" s="6">
        <v>986.55</v>
      </c>
    </row>
    <row r="51" spans="1:2" x14ac:dyDescent="0.3">
      <c r="A51" s="8" t="s">
        <v>123</v>
      </c>
      <c r="B51" s="6">
        <v>963.6</v>
      </c>
    </row>
    <row r="52" spans="1:2" x14ac:dyDescent="0.3">
      <c r="A52" s="8" t="s">
        <v>118</v>
      </c>
      <c r="B52" s="6">
        <v>877.81</v>
      </c>
    </row>
    <row r="53" spans="1:2" x14ac:dyDescent="0.3">
      <c r="A53" s="8" t="s">
        <v>47</v>
      </c>
      <c r="B53" s="6">
        <v>877.43</v>
      </c>
    </row>
    <row r="54" spans="1:2" x14ac:dyDescent="0.3">
      <c r="A54" s="8" t="s">
        <v>53</v>
      </c>
      <c r="B54" s="6">
        <v>815.64</v>
      </c>
    </row>
    <row r="55" spans="1:2" x14ac:dyDescent="0.3">
      <c r="A55" s="8" t="s">
        <v>14</v>
      </c>
      <c r="B55" s="6">
        <v>775.85</v>
      </c>
    </row>
    <row r="56" spans="1:2" x14ac:dyDescent="0.3">
      <c r="A56" s="8" t="s">
        <v>72</v>
      </c>
      <c r="B56" s="6">
        <v>735.25</v>
      </c>
    </row>
    <row r="57" spans="1:2" x14ac:dyDescent="0.3">
      <c r="A57" s="8" t="s">
        <v>41</v>
      </c>
      <c r="B57" s="6">
        <v>726.91</v>
      </c>
    </row>
    <row r="58" spans="1:2" x14ac:dyDescent="0.3">
      <c r="A58" s="8" t="s">
        <v>48</v>
      </c>
      <c r="B58" s="6">
        <v>698.48</v>
      </c>
    </row>
    <row r="59" spans="1:2" x14ac:dyDescent="0.3">
      <c r="A59" s="8" t="s">
        <v>114</v>
      </c>
      <c r="B59" s="6">
        <v>676.93</v>
      </c>
    </row>
    <row r="60" spans="1:2" x14ac:dyDescent="0.3">
      <c r="A60" s="8" t="s">
        <v>128</v>
      </c>
      <c r="B60" s="6">
        <v>661.38</v>
      </c>
    </row>
    <row r="61" spans="1:2" x14ac:dyDescent="0.3">
      <c r="A61" s="8" t="s">
        <v>81</v>
      </c>
      <c r="B61" s="6">
        <v>583.1</v>
      </c>
    </row>
    <row r="62" spans="1:2" x14ac:dyDescent="0.3">
      <c r="A62" s="8" t="s">
        <v>119</v>
      </c>
      <c r="B62" s="6">
        <v>547.85</v>
      </c>
    </row>
    <row r="63" spans="1:2" x14ac:dyDescent="0.3">
      <c r="A63" s="8" t="s">
        <v>94</v>
      </c>
      <c r="B63" s="6">
        <v>544.49</v>
      </c>
    </row>
    <row r="64" spans="1:2" x14ac:dyDescent="0.3">
      <c r="A64" s="8" t="s">
        <v>90</v>
      </c>
      <c r="B64" s="6">
        <v>536.66</v>
      </c>
    </row>
    <row r="65" spans="1:2" x14ac:dyDescent="0.3">
      <c r="A65" s="8" t="s">
        <v>89</v>
      </c>
      <c r="B65" s="6">
        <v>529.02</v>
      </c>
    </row>
    <row r="66" spans="1:2" x14ac:dyDescent="0.3">
      <c r="A66" s="8" t="s">
        <v>106</v>
      </c>
      <c r="B66" s="6">
        <v>374.09</v>
      </c>
    </row>
    <row r="67" spans="1:2" x14ac:dyDescent="0.3">
      <c r="A67" s="8" t="s">
        <v>117</v>
      </c>
      <c r="B67" s="6">
        <v>358.74</v>
      </c>
    </row>
    <row r="68" spans="1:2" x14ac:dyDescent="0.3">
      <c r="A68" s="8" t="s">
        <v>125</v>
      </c>
      <c r="B68" s="6">
        <v>274.87</v>
      </c>
    </row>
    <row r="69" spans="1:2" x14ac:dyDescent="0.3">
      <c r="A69" s="8" t="s">
        <v>86</v>
      </c>
      <c r="B69" s="6">
        <v>257.76</v>
      </c>
    </row>
    <row r="70" spans="1:2" x14ac:dyDescent="0.3">
      <c r="A70" s="8" t="s">
        <v>27</v>
      </c>
      <c r="B70" s="6">
        <v>242.17999999999998</v>
      </c>
    </row>
    <row r="71" spans="1:2" x14ac:dyDescent="0.3">
      <c r="A71" s="8" t="s">
        <v>91</v>
      </c>
      <c r="B71" s="6">
        <v>204.76</v>
      </c>
    </row>
    <row r="72" spans="1:2" x14ac:dyDescent="0.3">
      <c r="A72" s="8" t="s">
        <v>115</v>
      </c>
      <c r="B72" s="6">
        <v>48.21</v>
      </c>
    </row>
    <row r="73" spans="1:2" x14ac:dyDescent="0.3">
      <c r="A73" s="8" t="s">
        <v>60</v>
      </c>
      <c r="B73" s="6">
        <v>47.46</v>
      </c>
    </row>
    <row r="74" spans="1:2" x14ac:dyDescent="0.3">
      <c r="A74" s="8" t="s">
        <v>140</v>
      </c>
      <c r="B74" s="6">
        <v>116818.84999999998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DAE56-679B-4414-B9D4-B76D2E9A3995}">
  <dimension ref="A1:B3"/>
  <sheetViews>
    <sheetView workbookViewId="0">
      <selection activeCell="B4" sqref="B4"/>
    </sheetView>
  </sheetViews>
  <sheetFormatPr defaultRowHeight="14.4" x14ac:dyDescent="0.3"/>
  <cols>
    <col min="1" max="1" width="12.44140625" bestFit="1" customWidth="1"/>
    <col min="2" max="2" width="11.5546875" bestFit="1" customWidth="1"/>
  </cols>
  <sheetData>
    <row r="1" spans="1:2" x14ac:dyDescent="0.3">
      <c r="A1" s="7" t="s">
        <v>139</v>
      </c>
      <c r="B1" t="s">
        <v>141</v>
      </c>
    </row>
    <row r="2" spans="1:2" x14ac:dyDescent="0.3">
      <c r="A2" s="8" t="s">
        <v>137</v>
      </c>
      <c r="B2" s="6">
        <v>116818.85000000002</v>
      </c>
    </row>
    <row r="3" spans="1:2" x14ac:dyDescent="0.3">
      <c r="A3" s="8" t="s">
        <v>140</v>
      </c>
      <c r="B3" s="6">
        <v>116818.85000000002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26561-7CC4-405E-8D5C-7435EB80D3FD}">
  <dimension ref="A1:C4"/>
  <sheetViews>
    <sheetView workbookViewId="0">
      <selection activeCell="M21" sqref="M21"/>
    </sheetView>
  </sheetViews>
  <sheetFormatPr defaultRowHeight="14.4" x14ac:dyDescent="0.3"/>
  <cols>
    <col min="1" max="1" width="12.44140625" bestFit="1" customWidth="1"/>
    <col min="2" max="2" width="15.5546875" bestFit="1" customWidth="1"/>
    <col min="3" max="3" width="10.5546875" bestFit="1" customWidth="1"/>
    <col min="4" max="4" width="9.44140625" bestFit="1" customWidth="1"/>
    <col min="5" max="5" width="10.5546875" bestFit="1" customWidth="1"/>
  </cols>
  <sheetData>
    <row r="1" spans="1:3" x14ac:dyDescent="0.3">
      <c r="A1" s="7" t="s">
        <v>141</v>
      </c>
      <c r="B1" s="7" t="s">
        <v>142</v>
      </c>
    </row>
    <row r="2" spans="1:3" x14ac:dyDescent="0.3">
      <c r="A2" s="7" t="s">
        <v>139</v>
      </c>
      <c r="B2" t="s">
        <v>28</v>
      </c>
      <c r="C2" t="s">
        <v>140</v>
      </c>
    </row>
    <row r="3" spans="1:3" x14ac:dyDescent="0.3">
      <c r="A3" s="11">
        <v>2025</v>
      </c>
      <c r="B3" s="6">
        <v>115456.22</v>
      </c>
      <c r="C3" s="6">
        <v>115456.22</v>
      </c>
    </row>
    <row r="4" spans="1:3" x14ac:dyDescent="0.3">
      <c r="A4" s="11">
        <v>2026</v>
      </c>
      <c r="B4" s="6">
        <v>1362.6299999999999</v>
      </c>
      <c r="C4" s="6">
        <v>1362.6299999999999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6B833-3B6F-49D3-BB46-E6994A064D78}">
  <dimension ref="A1:P12"/>
  <sheetViews>
    <sheetView workbookViewId="0">
      <selection activeCell="B8" sqref="B8"/>
    </sheetView>
  </sheetViews>
  <sheetFormatPr defaultRowHeight="14.4" x14ac:dyDescent="0.3"/>
  <cols>
    <col min="1" max="1" width="12.44140625" bestFit="1" customWidth="1"/>
    <col min="2" max="2" width="11.5546875" bestFit="1" customWidth="1"/>
  </cols>
  <sheetData>
    <row r="1" spans="1:16" x14ac:dyDescent="0.3">
      <c r="A1" s="7" t="s">
        <v>139</v>
      </c>
      <c r="B1" t="s">
        <v>141</v>
      </c>
    </row>
    <row r="2" spans="1:16" x14ac:dyDescent="0.3">
      <c r="A2" s="8" t="s">
        <v>37</v>
      </c>
      <c r="B2" s="6">
        <v>12726.619999999997</v>
      </c>
      <c r="C2" t="str" cm="1">
        <f t="array" ref="C2:D2">A2:B2</f>
        <v>Arizona</v>
      </c>
      <c r="D2">
        <v>12726.619999999997</v>
      </c>
    </row>
    <row r="3" spans="1:16" x14ac:dyDescent="0.3">
      <c r="A3" s="8" t="s">
        <v>18</v>
      </c>
      <c r="B3" s="6">
        <v>12888.499999999998</v>
      </c>
      <c r="C3" t="str" cm="1">
        <f t="array" ref="C3:D3">A3:B3</f>
        <v>California</v>
      </c>
      <c r="D3">
        <v>12888.499999999998</v>
      </c>
    </row>
    <row r="4" spans="1:16" x14ac:dyDescent="0.3">
      <c r="A4" s="8" t="s">
        <v>31</v>
      </c>
      <c r="B4" s="6">
        <v>13997.890000000001</v>
      </c>
      <c r="C4" t="str" cm="1">
        <f t="array" ref="C4:D4">A4:B4</f>
        <v>Florida</v>
      </c>
      <c r="D4">
        <v>13997.890000000001</v>
      </c>
    </row>
    <row r="5" spans="1:16" x14ac:dyDescent="0.3">
      <c r="A5" s="8" t="s">
        <v>34</v>
      </c>
      <c r="B5" s="6">
        <v>6763.5199999999995</v>
      </c>
      <c r="C5" t="str" cm="1">
        <f t="array" ref="C5:D5">A5:B5</f>
        <v>Georgia</v>
      </c>
      <c r="D5">
        <v>6763.5199999999995</v>
      </c>
    </row>
    <row r="6" spans="1:16" x14ac:dyDescent="0.3">
      <c r="A6" s="8" t="s">
        <v>9</v>
      </c>
      <c r="B6" s="6">
        <v>17020.54</v>
      </c>
      <c r="C6" t="str" cm="1">
        <f t="array" ref="C6:D6">A6:B6</f>
        <v>Illinois</v>
      </c>
      <c r="D6">
        <v>17020.54</v>
      </c>
    </row>
    <row r="7" spans="1:16" x14ac:dyDescent="0.3">
      <c r="A7" s="8" t="s">
        <v>77</v>
      </c>
      <c r="B7" s="6">
        <v>7946.14</v>
      </c>
      <c r="C7" t="str" cm="1">
        <f t="array" ref="C7:D7">A7:B7</f>
        <v>Nevada</v>
      </c>
      <c r="D7">
        <v>7946.14</v>
      </c>
    </row>
    <row r="8" spans="1:16" x14ac:dyDescent="0.3">
      <c r="A8" s="8" t="s">
        <v>22</v>
      </c>
      <c r="B8" s="6">
        <v>13367.079999999998</v>
      </c>
      <c r="C8" t="str" cm="1">
        <f t="array" ref="C8:D8">A8:B8</f>
        <v>New York</v>
      </c>
      <c r="D8">
        <v>13367.079999999998</v>
      </c>
    </row>
    <row r="9" spans="1:16" x14ac:dyDescent="0.3">
      <c r="A9" s="8" t="s">
        <v>39</v>
      </c>
      <c r="B9" s="6">
        <v>11788.390000000001</v>
      </c>
      <c r="C9" t="str" cm="1">
        <f t="array" ref="C9:D9">A9:B9</f>
        <v>Ohio</v>
      </c>
      <c r="D9">
        <v>11788.390000000001</v>
      </c>
    </row>
    <row r="10" spans="1:16" x14ac:dyDescent="0.3">
      <c r="A10" s="8" t="s">
        <v>15</v>
      </c>
      <c r="B10" s="6">
        <v>10920.970000000001</v>
      </c>
      <c r="C10" t="str" cm="1">
        <f t="array" ref="C10:D10">A10:B10</f>
        <v>Texas</v>
      </c>
      <c r="D10">
        <v>10920.970000000001</v>
      </c>
      <c r="P10" t="s">
        <v>138</v>
      </c>
    </row>
    <row r="11" spans="1:16" x14ac:dyDescent="0.3">
      <c r="A11" s="8" t="s">
        <v>25</v>
      </c>
      <c r="B11" s="6">
        <v>9399.1999999999989</v>
      </c>
      <c r="C11" t="str" cm="1">
        <f t="array" ref="C11:D11">A11:B11</f>
        <v>Washington</v>
      </c>
      <c r="D11">
        <v>9399.1999999999989</v>
      </c>
    </row>
    <row r="12" spans="1:16" x14ac:dyDescent="0.3">
      <c r="A12" s="8" t="s">
        <v>140</v>
      </c>
      <c r="B12" s="6">
        <v>116818.84999999999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B1FC0-06A7-444C-BC64-56E566FEB3C4}">
  <dimension ref="A1:M501"/>
  <sheetViews>
    <sheetView topLeftCell="A2" workbookViewId="0">
      <selection activeCell="D2" activeCellId="1" sqref="B2:B501 D2:D501"/>
    </sheetView>
  </sheetViews>
  <sheetFormatPr defaultRowHeight="14.4" x14ac:dyDescent="0.3"/>
  <cols>
    <col min="1" max="1" width="12.21875" bestFit="1" customWidth="1"/>
    <col min="2" max="3" width="12.21875" customWidth="1"/>
    <col min="4" max="4" width="16.77734375" bestFit="1" customWidth="1"/>
    <col min="5" max="5" width="10.44140625" bestFit="1" customWidth="1"/>
    <col min="6" max="6" width="10.5546875" bestFit="1" customWidth="1"/>
    <col min="7" max="7" width="14.44140625" bestFit="1" customWidth="1"/>
    <col min="8" max="8" width="15.109375" bestFit="1" customWidth="1"/>
    <col min="9" max="9" width="7.77734375" style="6" bestFit="1" customWidth="1"/>
    <col min="10" max="10" width="10.33203125" bestFit="1" customWidth="1"/>
    <col min="11" max="11" width="7.77734375" bestFit="1" customWidth="1"/>
  </cols>
  <sheetData>
    <row r="1" spans="1:13" x14ac:dyDescent="0.3">
      <c r="A1" s="2" t="s">
        <v>0</v>
      </c>
      <c r="B1" s="9" t="s">
        <v>143</v>
      </c>
      <c r="C1" s="2" t="s">
        <v>144</v>
      </c>
      <c r="D1" s="2" t="s">
        <v>1</v>
      </c>
      <c r="E1" s="2" t="s">
        <v>2</v>
      </c>
      <c r="F1" s="2" t="s">
        <v>3</v>
      </c>
      <c r="G1" s="2" t="s">
        <v>134</v>
      </c>
      <c r="H1" s="2" t="s">
        <v>4</v>
      </c>
      <c r="I1" s="5" t="s">
        <v>5</v>
      </c>
      <c r="J1" s="2" t="s">
        <v>6</v>
      </c>
      <c r="K1" s="2" t="s">
        <v>7</v>
      </c>
      <c r="L1" s="1"/>
    </row>
    <row r="2" spans="1:13" x14ac:dyDescent="0.3">
      <c r="A2" s="3">
        <v>45662</v>
      </c>
      <c r="B2" s="10">
        <f>YEAR(Table1[[#This Row],[Order Date]])</f>
        <v>2025</v>
      </c>
      <c r="C2" s="10">
        <f>MONTH(Table1[[#This Row],[Order Date]])</f>
        <v>1</v>
      </c>
      <c r="D2" s="2" t="s">
        <v>68</v>
      </c>
      <c r="E2" s="2" t="s">
        <v>22</v>
      </c>
      <c r="F2" s="2" t="s">
        <v>19</v>
      </c>
      <c r="G2" s="1" t="s">
        <v>136</v>
      </c>
      <c r="H2" s="2" t="s">
        <v>65</v>
      </c>
      <c r="I2" s="5">
        <v>1406.07</v>
      </c>
      <c r="J2" s="2">
        <v>1</v>
      </c>
      <c r="K2" s="4">
        <v>249.48</v>
      </c>
      <c r="L2" s="1"/>
    </row>
    <row r="3" spans="1:13" x14ac:dyDescent="0.3">
      <c r="A3" s="3">
        <v>45663</v>
      </c>
      <c r="B3" s="10">
        <f>YEAR(Table1[[#This Row],[Order Date]])</f>
        <v>2025</v>
      </c>
      <c r="C3" s="10">
        <f>MONTH(Table1[[#This Row],[Order Date]])</f>
        <v>1</v>
      </c>
      <c r="D3" s="2" t="s">
        <v>96</v>
      </c>
      <c r="E3" s="2" t="s">
        <v>77</v>
      </c>
      <c r="F3" s="2" t="s">
        <v>10</v>
      </c>
      <c r="G3" s="1" t="s">
        <v>135</v>
      </c>
      <c r="H3" s="2" t="s">
        <v>11</v>
      </c>
      <c r="I3" s="5">
        <v>435.71</v>
      </c>
      <c r="J3" s="2">
        <v>1</v>
      </c>
      <c r="K3" s="4">
        <v>46.14</v>
      </c>
    </row>
    <row r="4" spans="1:13" x14ac:dyDescent="0.3">
      <c r="A4" s="3">
        <v>45663</v>
      </c>
      <c r="B4" s="10">
        <f>YEAR(Table1[[#This Row],[Order Date]])</f>
        <v>2025</v>
      </c>
      <c r="C4" s="10">
        <f>MONTH(Table1[[#This Row],[Order Date]])</f>
        <v>1</v>
      </c>
      <c r="D4" s="2" t="s">
        <v>126</v>
      </c>
      <c r="E4" s="2" t="s">
        <v>31</v>
      </c>
      <c r="F4" s="2" t="s">
        <v>28</v>
      </c>
      <c r="G4" s="1" t="s">
        <v>137</v>
      </c>
      <c r="H4" s="2" t="s">
        <v>35</v>
      </c>
      <c r="I4" s="5">
        <v>947.66</v>
      </c>
      <c r="J4" s="2">
        <v>5</v>
      </c>
      <c r="K4" s="4">
        <v>237.28</v>
      </c>
    </row>
    <row r="5" spans="1:13" x14ac:dyDescent="0.3">
      <c r="A5" s="3">
        <v>45666</v>
      </c>
      <c r="B5" s="10">
        <f>YEAR(Table1[[#This Row],[Order Date]])</f>
        <v>2025</v>
      </c>
      <c r="C5" s="10">
        <f>MONTH(Table1[[#This Row],[Order Date]])</f>
        <v>1</v>
      </c>
      <c r="D5" s="2" t="s">
        <v>41</v>
      </c>
      <c r="E5" s="2" t="s">
        <v>25</v>
      </c>
      <c r="F5" s="2" t="s">
        <v>19</v>
      </c>
      <c r="G5" s="1" t="s">
        <v>136</v>
      </c>
      <c r="H5" s="2" t="s">
        <v>20</v>
      </c>
      <c r="I5" s="5">
        <v>21.23</v>
      </c>
      <c r="J5" s="2">
        <v>5</v>
      </c>
      <c r="K5" s="4">
        <v>1.87</v>
      </c>
    </row>
    <row r="6" spans="1:13" x14ac:dyDescent="0.3">
      <c r="A6" s="3">
        <v>45666</v>
      </c>
      <c r="B6" s="10">
        <f>YEAR(Table1[[#This Row],[Order Date]])</f>
        <v>2025</v>
      </c>
      <c r="C6" s="10">
        <f>MONTH(Table1[[#This Row],[Order Date]])</f>
        <v>1</v>
      </c>
      <c r="D6" s="2" t="s">
        <v>122</v>
      </c>
      <c r="E6" s="2" t="s">
        <v>39</v>
      </c>
      <c r="F6" s="2" t="s">
        <v>28</v>
      </c>
      <c r="G6" s="1" t="s">
        <v>137</v>
      </c>
      <c r="H6" s="2" t="s">
        <v>35</v>
      </c>
      <c r="I6" s="5">
        <v>1364.99</v>
      </c>
      <c r="J6" s="2">
        <v>1</v>
      </c>
      <c r="K6" s="4">
        <v>70.650000000000006</v>
      </c>
    </row>
    <row r="7" spans="1:13" x14ac:dyDescent="0.3">
      <c r="A7" s="3">
        <v>45667</v>
      </c>
      <c r="B7" s="10">
        <f>YEAR(Table1[[#This Row],[Order Date]])</f>
        <v>2025</v>
      </c>
      <c r="C7" s="10">
        <f>MONTH(Table1[[#This Row],[Order Date]])</f>
        <v>1</v>
      </c>
      <c r="D7" s="2" t="s">
        <v>14</v>
      </c>
      <c r="E7" s="2" t="s">
        <v>9</v>
      </c>
      <c r="F7" s="2" t="s">
        <v>10</v>
      </c>
      <c r="G7" s="1" t="s">
        <v>135</v>
      </c>
      <c r="H7" s="2" t="s">
        <v>49</v>
      </c>
      <c r="I7" s="5">
        <v>74.97</v>
      </c>
      <c r="J7" s="2">
        <v>4</v>
      </c>
      <c r="K7" s="4">
        <v>21.38</v>
      </c>
    </row>
    <row r="8" spans="1:13" x14ac:dyDescent="0.3">
      <c r="A8" s="3">
        <v>45668</v>
      </c>
      <c r="B8" s="10">
        <f>YEAR(Table1[[#This Row],[Order Date]])</f>
        <v>2025</v>
      </c>
      <c r="C8" s="10">
        <f>MONTH(Table1[[#This Row],[Order Date]])</f>
        <v>1</v>
      </c>
      <c r="D8" s="2" t="s">
        <v>43</v>
      </c>
      <c r="E8" s="2" t="s">
        <v>77</v>
      </c>
      <c r="F8" s="2" t="s">
        <v>19</v>
      </c>
      <c r="G8" s="1" t="s">
        <v>136</v>
      </c>
      <c r="H8" s="2" t="s">
        <v>20</v>
      </c>
      <c r="I8" s="5">
        <v>1267.81</v>
      </c>
      <c r="J8" s="2">
        <v>4</v>
      </c>
      <c r="K8" s="4">
        <v>204.87</v>
      </c>
    </row>
    <row r="9" spans="1:13" x14ac:dyDescent="0.3">
      <c r="A9" s="3">
        <v>45669</v>
      </c>
      <c r="B9" s="10">
        <f>YEAR(Table1[[#This Row],[Order Date]])</f>
        <v>2025</v>
      </c>
      <c r="C9" s="10">
        <f>MONTH(Table1[[#This Row],[Order Date]])</f>
        <v>1</v>
      </c>
      <c r="D9" s="2" t="s">
        <v>93</v>
      </c>
      <c r="E9" s="2" t="s">
        <v>77</v>
      </c>
      <c r="F9" s="2" t="s">
        <v>19</v>
      </c>
      <c r="G9" s="1" t="s">
        <v>136</v>
      </c>
      <c r="H9" s="2" t="s">
        <v>40</v>
      </c>
      <c r="I9" s="5">
        <v>1132.53</v>
      </c>
      <c r="J9" s="2">
        <v>4</v>
      </c>
      <c r="K9" s="4">
        <v>80.27</v>
      </c>
    </row>
    <row r="10" spans="1:13" x14ac:dyDescent="0.3">
      <c r="A10" s="3">
        <v>45669</v>
      </c>
      <c r="B10" s="10">
        <f>YEAR(Table1[[#This Row],[Order Date]])</f>
        <v>2025</v>
      </c>
      <c r="C10" s="10">
        <f>MONTH(Table1[[#This Row],[Order Date]])</f>
        <v>1</v>
      </c>
      <c r="D10" s="2" t="s">
        <v>59</v>
      </c>
      <c r="E10" s="2" t="s">
        <v>39</v>
      </c>
      <c r="F10" s="2" t="s">
        <v>10</v>
      </c>
      <c r="G10" s="1" t="s">
        <v>135</v>
      </c>
      <c r="H10" s="2" t="s">
        <v>16</v>
      </c>
      <c r="I10" s="5">
        <v>992.85</v>
      </c>
      <c r="J10" s="2">
        <v>4</v>
      </c>
      <c r="K10" s="4">
        <v>265.73</v>
      </c>
    </row>
    <row r="11" spans="1:13" x14ac:dyDescent="0.3">
      <c r="A11" s="3">
        <v>45669</v>
      </c>
      <c r="B11" s="10">
        <f>YEAR(Table1[[#This Row],[Order Date]])</f>
        <v>2025</v>
      </c>
      <c r="C11" s="10">
        <f>MONTH(Table1[[#This Row],[Order Date]])</f>
        <v>1</v>
      </c>
      <c r="D11" s="2" t="s">
        <v>54</v>
      </c>
      <c r="E11" s="2" t="s">
        <v>18</v>
      </c>
      <c r="F11" s="2" t="s">
        <v>19</v>
      </c>
      <c r="G11" s="1" t="s">
        <v>136</v>
      </c>
      <c r="H11" s="2" t="s">
        <v>40</v>
      </c>
      <c r="I11" s="5">
        <v>792.61</v>
      </c>
      <c r="J11" s="2">
        <v>1</v>
      </c>
      <c r="K11" s="4">
        <v>172.23</v>
      </c>
      <c r="M11" t="s">
        <v>138</v>
      </c>
    </row>
    <row r="12" spans="1:13" x14ac:dyDescent="0.3">
      <c r="A12" s="3">
        <v>45672</v>
      </c>
      <c r="B12" s="10">
        <f>YEAR(Table1[[#This Row],[Order Date]])</f>
        <v>2025</v>
      </c>
      <c r="C12" s="10">
        <f>MONTH(Table1[[#This Row],[Order Date]])</f>
        <v>1</v>
      </c>
      <c r="D12" s="2" t="s">
        <v>124</v>
      </c>
      <c r="E12" s="2" t="s">
        <v>22</v>
      </c>
      <c r="F12" s="2" t="s">
        <v>19</v>
      </c>
      <c r="G12" s="1" t="s">
        <v>136</v>
      </c>
      <c r="H12" s="2" t="s">
        <v>45</v>
      </c>
      <c r="I12" s="5">
        <v>123.43</v>
      </c>
      <c r="J12" s="2">
        <v>1</v>
      </c>
      <c r="K12" s="4">
        <v>8.07</v>
      </c>
    </row>
    <row r="13" spans="1:13" x14ac:dyDescent="0.3">
      <c r="A13" s="3">
        <v>45672</v>
      </c>
      <c r="B13" s="10">
        <f>YEAR(Table1[[#This Row],[Order Date]])</f>
        <v>2025</v>
      </c>
      <c r="C13" s="10">
        <f>MONTH(Table1[[#This Row],[Order Date]])</f>
        <v>1</v>
      </c>
      <c r="D13" s="2" t="s">
        <v>61</v>
      </c>
      <c r="E13" s="2" t="s">
        <v>31</v>
      </c>
      <c r="F13" s="2" t="s">
        <v>28</v>
      </c>
      <c r="G13" s="1" t="s">
        <v>137</v>
      </c>
      <c r="H13" s="2" t="s">
        <v>69</v>
      </c>
      <c r="I13" s="5">
        <v>578.6</v>
      </c>
      <c r="J13" s="2">
        <v>3</v>
      </c>
      <c r="K13" s="4">
        <v>88.64</v>
      </c>
    </row>
    <row r="14" spans="1:13" x14ac:dyDescent="0.3">
      <c r="A14" s="3">
        <v>45674</v>
      </c>
      <c r="B14" s="10">
        <f>YEAR(Table1[[#This Row],[Order Date]])</f>
        <v>2025</v>
      </c>
      <c r="C14" s="10">
        <f>MONTH(Table1[[#This Row],[Order Date]])</f>
        <v>1</v>
      </c>
      <c r="D14" s="2" t="s">
        <v>108</v>
      </c>
      <c r="E14" s="2" t="s">
        <v>15</v>
      </c>
      <c r="F14" s="2" t="s">
        <v>10</v>
      </c>
      <c r="G14" s="1" t="s">
        <v>135</v>
      </c>
      <c r="H14" s="2" t="s">
        <v>23</v>
      </c>
      <c r="I14" s="5">
        <v>529.80999999999995</v>
      </c>
      <c r="J14" s="2">
        <v>1</v>
      </c>
      <c r="K14" s="4">
        <v>139.16999999999999</v>
      </c>
    </row>
    <row r="15" spans="1:13" x14ac:dyDescent="0.3">
      <c r="A15" s="3">
        <v>45674</v>
      </c>
      <c r="B15" s="10">
        <f>YEAR(Table1[[#This Row],[Order Date]])</f>
        <v>2025</v>
      </c>
      <c r="C15" s="10">
        <f>MONTH(Table1[[#This Row],[Order Date]])</f>
        <v>1</v>
      </c>
      <c r="D15" s="2" t="s">
        <v>95</v>
      </c>
      <c r="E15" s="2" t="s">
        <v>15</v>
      </c>
      <c r="F15" s="2" t="s">
        <v>10</v>
      </c>
      <c r="G15" s="1" t="s">
        <v>135</v>
      </c>
      <c r="H15" s="2" t="s">
        <v>49</v>
      </c>
      <c r="I15" s="5">
        <v>356</v>
      </c>
      <c r="J15" s="2">
        <v>1</v>
      </c>
      <c r="K15" s="4">
        <v>52.64</v>
      </c>
    </row>
    <row r="16" spans="1:13" x14ac:dyDescent="0.3">
      <c r="A16" s="3">
        <v>45674</v>
      </c>
      <c r="B16" s="10">
        <f>YEAR(Table1[[#This Row],[Order Date]])</f>
        <v>2025</v>
      </c>
      <c r="C16" s="10">
        <f>MONTH(Table1[[#This Row],[Order Date]])</f>
        <v>1</v>
      </c>
      <c r="D16" s="2" t="s">
        <v>82</v>
      </c>
      <c r="E16" s="2" t="s">
        <v>15</v>
      </c>
      <c r="F16" s="2" t="s">
        <v>28</v>
      </c>
      <c r="G16" s="1" t="s">
        <v>137</v>
      </c>
      <c r="H16" s="2" t="s">
        <v>29</v>
      </c>
      <c r="I16" s="5">
        <v>1227.99</v>
      </c>
      <c r="J16" s="2">
        <v>4</v>
      </c>
      <c r="K16" s="4">
        <v>164.51</v>
      </c>
    </row>
    <row r="17" spans="1:11" x14ac:dyDescent="0.3">
      <c r="A17" s="3">
        <v>45674</v>
      </c>
      <c r="B17" s="10">
        <f>YEAR(Table1[[#This Row],[Order Date]])</f>
        <v>2025</v>
      </c>
      <c r="C17" s="10">
        <f>MONTH(Table1[[#This Row],[Order Date]])</f>
        <v>1</v>
      </c>
      <c r="D17" s="2" t="s">
        <v>114</v>
      </c>
      <c r="E17" s="2" t="s">
        <v>22</v>
      </c>
      <c r="F17" s="2" t="s">
        <v>28</v>
      </c>
      <c r="G17" s="1" t="s">
        <v>137</v>
      </c>
      <c r="H17" s="2" t="s">
        <v>35</v>
      </c>
      <c r="I17" s="5">
        <v>676.93</v>
      </c>
      <c r="J17" s="2">
        <v>4</v>
      </c>
      <c r="K17" s="4">
        <v>61.94</v>
      </c>
    </row>
    <row r="18" spans="1:11" x14ac:dyDescent="0.3">
      <c r="A18" s="3">
        <v>45675</v>
      </c>
      <c r="B18" s="10">
        <f>YEAR(Table1[[#This Row],[Order Date]])</f>
        <v>2025</v>
      </c>
      <c r="C18" s="10">
        <f>MONTH(Table1[[#This Row],[Order Date]])</f>
        <v>1</v>
      </c>
      <c r="D18" s="2" t="s">
        <v>47</v>
      </c>
      <c r="E18" s="2" t="s">
        <v>37</v>
      </c>
      <c r="F18" s="2" t="s">
        <v>19</v>
      </c>
      <c r="G18" s="1" t="s">
        <v>136</v>
      </c>
      <c r="H18" s="2" t="s">
        <v>20</v>
      </c>
      <c r="I18" s="5">
        <v>182.61</v>
      </c>
      <c r="J18" s="2">
        <v>2</v>
      </c>
      <c r="K18" s="4">
        <v>38.07</v>
      </c>
    </row>
    <row r="19" spans="1:11" x14ac:dyDescent="0.3">
      <c r="A19" s="3">
        <v>45676</v>
      </c>
      <c r="B19" s="10">
        <f>YEAR(Table1[[#This Row],[Order Date]])</f>
        <v>2025</v>
      </c>
      <c r="C19" s="10">
        <f>MONTH(Table1[[#This Row],[Order Date]])</f>
        <v>1</v>
      </c>
      <c r="D19" s="2" t="s">
        <v>112</v>
      </c>
      <c r="E19" s="2" t="s">
        <v>34</v>
      </c>
      <c r="F19" s="2" t="s">
        <v>10</v>
      </c>
      <c r="G19" s="1" t="s">
        <v>135</v>
      </c>
      <c r="H19" s="2" t="s">
        <v>49</v>
      </c>
      <c r="I19" s="5">
        <v>59.96</v>
      </c>
      <c r="J19" s="2">
        <v>2</v>
      </c>
      <c r="K19" s="4">
        <v>14.43</v>
      </c>
    </row>
    <row r="20" spans="1:11" x14ac:dyDescent="0.3">
      <c r="A20" s="3">
        <v>45676</v>
      </c>
      <c r="B20" s="10">
        <f>YEAR(Table1[[#This Row],[Order Date]])</f>
        <v>2025</v>
      </c>
      <c r="C20" s="10">
        <f>MONTH(Table1[[#This Row],[Order Date]])</f>
        <v>1</v>
      </c>
      <c r="D20" s="2" t="s">
        <v>109</v>
      </c>
      <c r="E20" s="2" t="s">
        <v>77</v>
      </c>
      <c r="F20" s="2" t="s">
        <v>19</v>
      </c>
      <c r="G20" s="1" t="s">
        <v>136</v>
      </c>
      <c r="H20" s="2" t="s">
        <v>65</v>
      </c>
      <c r="I20" s="5">
        <v>1023.88</v>
      </c>
      <c r="J20" s="2">
        <v>2</v>
      </c>
      <c r="K20" s="4">
        <v>174.04</v>
      </c>
    </row>
    <row r="21" spans="1:11" x14ac:dyDescent="0.3">
      <c r="A21" s="3">
        <v>45676</v>
      </c>
      <c r="B21" s="10">
        <f>YEAR(Table1[[#This Row],[Order Date]])</f>
        <v>2025</v>
      </c>
      <c r="C21" s="10">
        <f>MONTH(Table1[[#This Row],[Order Date]])</f>
        <v>1</v>
      </c>
      <c r="D21" s="2" t="s">
        <v>48</v>
      </c>
      <c r="E21" s="2" t="s">
        <v>39</v>
      </c>
      <c r="F21" s="2" t="s">
        <v>28</v>
      </c>
      <c r="G21" s="1" t="s">
        <v>137</v>
      </c>
      <c r="H21" s="2" t="s">
        <v>73</v>
      </c>
      <c r="I21" s="5">
        <v>483.12</v>
      </c>
      <c r="J21" s="2">
        <v>3</v>
      </c>
      <c r="K21" s="4">
        <v>72.31</v>
      </c>
    </row>
    <row r="22" spans="1:11" x14ac:dyDescent="0.3">
      <c r="A22" s="3">
        <v>45677</v>
      </c>
      <c r="B22" s="10">
        <f>YEAR(Table1[[#This Row],[Order Date]])</f>
        <v>2025</v>
      </c>
      <c r="C22" s="10">
        <f>MONTH(Table1[[#This Row],[Order Date]])</f>
        <v>1</v>
      </c>
      <c r="D22" s="2" t="s">
        <v>12</v>
      </c>
      <c r="E22" s="2" t="s">
        <v>9</v>
      </c>
      <c r="F22" s="2" t="s">
        <v>10</v>
      </c>
      <c r="G22" s="1" t="s">
        <v>135</v>
      </c>
      <c r="H22" s="2" t="s">
        <v>23</v>
      </c>
      <c r="I22" s="5">
        <v>1087.9000000000001</v>
      </c>
      <c r="J22" s="2">
        <v>2</v>
      </c>
      <c r="K22" s="4">
        <v>199.25</v>
      </c>
    </row>
    <row r="23" spans="1:11" x14ac:dyDescent="0.3">
      <c r="A23" s="3">
        <v>45678</v>
      </c>
      <c r="B23" s="10">
        <f>YEAR(Table1[[#This Row],[Order Date]])</f>
        <v>2025</v>
      </c>
      <c r="C23" s="10">
        <f>MONTH(Table1[[#This Row],[Order Date]])</f>
        <v>1</v>
      </c>
      <c r="D23" s="2" t="s">
        <v>21</v>
      </c>
      <c r="E23" s="2" t="s">
        <v>22</v>
      </c>
      <c r="F23" s="2" t="s">
        <v>10</v>
      </c>
      <c r="G23" s="1" t="s">
        <v>135</v>
      </c>
      <c r="H23" s="2" t="s">
        <v>23</v>
      </c>
      <c r="I23" s="5">
        <v>605.79</v>
      </c>
      <c r="J23" s="2">
        <v>4</v>
      </c>
      <c r="K23" s="4">
        <v>177.76</v>
      </c>
    </row>
    <row r="24" spans="1:11" x14ac:dyDescent="0.3">
      <c r="A24" s="3">
        <v>45678</v>
      </c>
      <c r="B24" s="10">
        <f>YEAR(Table1[[#This Row],[Order Date]])</f>
        <v>2025</v>
      </c>
      <c r="C24" s="10">
        <f>MONTH(Table1[[#This Row],[Order Date]])</f>
        <v>1</v>
      </c>
      <c r="D24" s="2" t="s">
        <v>54</v>
      </c>
      <c r="E24" s="2" t="s">
        <v>22</v>
      </c>
      <c r="F24" s="2" t="s">
        <v>10</v>
      </c>
      <c r="G24" s="1" t="s">
        <v>135</v>
      </c>
      <c r="H24" s="2" t="s">
        <v>49</v>
      </c>
      <c r="I24" s="5">
        <v>1263.76</v>
      </c>
      <c r="J24" s="2">
        <v>3</v>
      </c>
      <c r="K24" s="4">
        <v>329.76</v>
      </c>
    </row>
    <row r="25" spans="1:11" x14ac:dyDescent="0.3">
      <c r="A25" s="3">
        <v>45680</v>
      </c>
      <c r="B25" s="10">
        <f>YEAR(Table1[[#This Row],[Order Date]])</f>
        <v>2025</v>
      </c>
      <c r="C25" s="10">
        <f>MONTH(Table1[[#This Row],[Order Date]])</f>
        <v>1</v>
      </c>
      <c r="D25" s="2" t="s">
        <v>107</v>
      </c>
      <c r="E25" s="2" t="s">
        <v>31</v>
      </c>
      <c r="F25" s="2" t="s">
        <v>10</v>
      </c>
      <c r="G25" s="1" t="s">
        <v>135</v>
      </c>
      <c r="H25" s="2" t="s">
        <v>16</v>
      </c>
      <c r="I25" s="5">
        <v>1473.74</v>
      </c>
      <c r="J25" s="2">
        <v>2</v>
      </c>
      <c r="K25" s="4">
        <v>285.89999999999998</v>
      </c>
    </row>
    <row r="26" spans="1:11" x14ac:dyDescent="0.3">
      <c r="A26" s="3">
        <v>45680</v>
      </c>
      <c r="B26" s="10">
        <f>YEAR(Table1[[#This Row],[Order Date]])</f>
        <v>2025</v>
      </c>
      <c r="C26" s="10">
        <f>MONTH(Table1[[#This Row],[Order Date]])</f>
        <v>1</v>
      </c>
      <c r="D26" s="2" t="s">
        <v>87</v>
      </c>
      <c r="E26" s="2" t="s">
        <v>15</v>
      </c>
      <c r="F26" s="2" t="s">
        <v>19</v>
      </c>
      <c r="G26" s="1" t="s">
        <v>136</v>
      </c>
      <c r="H26" s="2" t="s">
        <v>20</v>
      </c>
      <c r="I26" s="5">
        <v>1010.62</v>
      </c>
      <c r="J26" s="2">
        <v>4</v>
      </c>
      <c r="K26" s="4">
        <v>208.08</v>
      </c>
    </row>
    <row r="27" spans="1:11" x14ac:dyDescent="0.3">
      <c r="A27" s="3">
        <v>45680</v>
      </c>
      <c r="B27" s="10">
        <f>YEAR(Table1[[#This Row],[Order Date]])</f>
        <v>2025</v>
      </c>
      <c r="C27" s="10">
        <f>MONTH(Table1[[#This Row],[Order Date]])</f>
        <v>1</v>
      </c>
      <c r="D27" s="2" t="s">
        <v>56</v>
      </c>
      <c r="E27" s="2" t="s">
        <v>34</v>
      </c>
      <c r="F27" s="2" t="s">
        <v>10</v>
      </c>
      <c r="G27" s="1" t="s">
        <v>135</v>
      </c>
      <c r="H27" s="2" t="s">
        <v>11</v>
      </c>
      <c r="I27" s="5">
        <v>1164.23</v>
      </c>
      <c r="J27" s="2">
        <v>3</v>
      </c>
      <c r="K27" s="4">
        <v>112.11</v>
      </c>
    </row>
    <row r="28" spans="1:11" x14ac:dyDescent="0.3">
      <c r="A28" s="3">
        <v>45680</v>
      </c>
      <c r="B28" s="10">
        <f>YEAR(Table1[[#This Row],[Order Date]])</f>
        <v>2025</v>
      </c>
      <c r="C28" s="10">
        <f>MONTH(Table1[[#This Row],[Order Date]])</f>
        <v>1</v>
      </c>
      <c r="D28" s="2" t="s">
        <v>101</v>
      </c>
      <c r="E28" s="2" t="s">
        <v>9</v>
      </c>
      <c r="F28" s="2" t="s">
        <v>10</v>
      </c>
      <c r="G28" s="1" t="s">
        <v>135</v>
      </c>
      <c r="H28" s="2" t="s">
        <v>49</v>
      </c>
      <c r="I28" s="5">
        <v>395.06</v>
      </c>
      <c r="J28" s="2">
        <v>2</v>
      </c>
      <c r="K28" s="4">
        <v>82.57</v>
      </c>
    </row>
    <row r="29" spans="1:11" x14ac:dyDescent="0.3">
      <c r="A29" s="3">
        <v>45681</v>
      </c>
      <c r="B29" s="10">
        <f>YEAR(Table1[[#This Row],[Order Date]])</f>
        <v>2025</v>
      </c>
      <c r="C29" s="10">
        <f>MONTH(Table1[[#This Row],[Order Date]])</f>
        <v>1</v>
      </c>
      <c r="D29" s="2" t="s">
        <v>89</v>
      </c>
      <c r="E29" s="2" t="s">
        <v>9</v>
      </c>
      <c r="F29" s="2" t="s">
        <v>10</v>
      </c>
      <c r="G29" s="1" t="s">
        <v>135</v>
      </c>
      <c r="H29" s="2" t="s">
        <v>49</v>
      </c>
      <c r="I29" s="5">
        <v>1128.25</v>
      </c>
      <c r="J29" s="2">
        <v>4</v>
      </c>
      <c r="K29" s="4">
        <v>102.57</v>
      </c>
    </row>
    <row r="30" spans="1:11" x14ac:dyDescent="0.3">
      <c r="A30" s="3">
        <v>45681</v>
      </c>
      <c r="B30" s="10">
        <f>YEAR(Table1[[#This Row],[Order Date]])</f>
        <v>2025</v>
      </c>
      <c r="C30" s="10">
        <f>MONTH(Table1[[#This Row],[Order Date]])</f>
        <v>1</v>
      </c>
      <c r="D30" s="2" t="s">
        <v>99</v>
      </c>
      <c r="E30" s="2" t="s">
        <v>15</v>
      </c>
      <c r="F30" s="2" t="s">
        <v>10</v>
      </c>
      <c r="G30" s="1" t="s">
        <v>135</v>
      </c>
      <c r="H30" s="2" t="s">
        <v>16</v>
      </c>
      <c r="I30" s="5">
        <v>814.39</v>
      </c>
      <c r="J30" s="2">
        <v>5</v>
      </c>
      <c r="K30" s="4">
        <v>87.39</v>
      </c>
    </row>
    <row r="31" spans="1:11" x14ac:dyDescent="0.3">
      <c r="A31" s="3">
        <v>45681</v>
      </c>
      <c r="B31" s="10">
        <f>YEAR(Table1[[#This Row],[Order Date]])</f>
        <v>2025</v>
      </c>
      <c r="C31" s="10">
        <f>MONTH(Table1[[#This Row],[Order Date]])</f>
        <v>1</v>
      </c>
      <c r="D31" s="2" t="s">
        <v>52</v>
      </c>
      <c r="E31" s="2" t="s">
        <v>22</v>
      </c>
      <c r="F31" s="2" t="s">
        <v>28</v>
      </c>
      <c r="G31" s="1" t="s">
        <v>137</v>
      </c>
      <c r="H31" s="2" t="s">
        <v>35</v>
      </c>
      <c r="I31" s="5">
        <v>646.96</v>
      </c>
      <c r="J31" s="2">
        <v>3</v>
      </c>
      <c r="K31" s="4">
        <v>143.44</v>
      </c>
    </row>
    <row r="32" spans="1:11" x14ac:dyDescent="0.3">
      <c r="A32" s="3">
        <v>45682</v>
      </c>
      <c r="B32" s="10">
        <f>YEAR(Table1[[#This Row],[Order Date]])</f>
        <v>2025</v>
      </c>
      <c r="C32" s="10">
        <f>MONTH(Table1[[#This Row],[Order Date]])</f>
        <v>1</v>
      </c>
      <c r="D32" s="2" t="s">
        <v>101</v>
      </c>
      <c r="E32" s="2" t="s">
        <v>9</v>
      </c>
      <c r="F32" s="2" t="s">
        <v>28</v>
      </c>
      <c r="G32" s="1" t="s">
        <v>137</v>
      </c>
      <c r="H32" s="2" t="s">
        <v>69</v>
      </c>
      <c r="I32" s="5">
        <v>1221.22</v>
      </c>
      <c r="J32" s="2">
        <v>5</v>
      </c>
      <c r="K32" s="4">
        <v>365.34</v>
      </c>
    </row>
    <row r="33" spans="1:11" x14ac:dyDescent="0.3">
      <c r="A33" s="3">
        <v>45682</v>
      </c>
      <c r="B33" s="10">
        <f>YEAR(Table1[[#This Row],[Order Date]])</f>
        <v>2025</v>
      </c>
      <c r="C33" s="10">
        <f>MONTH(Table1[[#This Row],[Order Date]])</f>
        <v>1</v>
      </c>
      <c r="D33" s="2" t="s">
        <v>36</v>
      </c>
      <c r="E33" s="2" t="s">
        <v>9</v>
      </c>
      <c r="F33" s="2" t="s">
        <v>28</v>
      </c>
      <c r="G33" s="1" t="s">
        <v>137</v>
      </c>
      <c r="H33" s="2" t="s">
        <v>29</v>
      </c>
      <c r="I33" s="5">
        <v>332.94</v>
      </c>
      <c r="J33" s="2">
        <v>1</v>
      </c>
      <c r="K33" s="4">
        <v>31.5</v>
      </c>
    </row>
    <row r="34" spans="1:11" x14ac:dyDescent="0.3">
      <c r="A34" s="3">
        <v>45684</v>
      </c>
      <c r="B34" s="10">
        <f>YEAR(Table1[[#This Row],[Order Date]])</f>
        <v>2025</v>
      </c>
      <c r="C34" s="10">
        <f>MONTH(Table1[[#This Row],[Order Date]])</f>
        <v>1</v>
      </c>
      <c r="D34" s="2" t="s">
        <v>44</v>
      </c>
      <c r="E34" s="2" t="s">
        <v>25</v>
      </c>
      <c r="F34" s="2" t="s">
        <v>19</v>
      </c>
      <c r="G34" s="1" t="s">
        <v>136</v>
      </c>
      <c r="H34" s="2" t="s">
        <v>45</v>
      </c>
      <c r="I34" s="5">
        <v>1296.02</v>
      </c>
      <c r="J34" s="2">
        <v>4</v>
      </c>
      <c r="K34" s="4">
        <v>172.01</v>
      </c>
    </row>
    <row r="35" spans="1:11" x14ac:dyDescent="0.3">
      <c r="A35" s="3">
        <v>45684</v>
      </c>
      <c r="B35" s="10">
        <f>YEAR(Table1[[#This Row],[Order Date]])</f>
        <v>2025</v>
      </c>
      <c r="C35" s="10">
        <f>MONTH(Table1[[#This Row],[Order Date]])</f>
        <v>1</v>
      </c>
      <c r="D35" s="2" t="s">
        <v>86</v>
      </c>
      <c r="E35" s="2" t="s">
        <v>37</v>
      </c>
      <c r="F35" s="2" t="s">
        <v>19</v>
      </c>
      <c r="G35" s="1" t="s">
        <v>136</v>
      </c>
      <c r="H35" s="2" t="s">
        <v>45</v>
      </c>
      <c r="I35" s="5">
        <v>773.21</v>
      </c>
      <c r="J35" s="2">
        <v>5</v>
      </c>
      <c r="K35" s="4">
        <v>47.91</v>
      </c>
    </row>
    <row r="36" spans="1:11" x14ac:dyDescent="0.3">
      <c r="A36" s="3">
        <v>45684</v>
      </c>
      <c r="B36" s="10">
        <f>YEAR(Table1[[#This Row],[Order Date]])</f>
        <v>2025</v>
      </c>
      <c r="C36" s="10">
        <f>MONTH(Table1[[#This Row],[Order Date]])</f>
        <v>1</v>
      </c>
      <c r="D36" s="2" t="s">
        <v>66</v>
      </c>
      <c r="E36" s="2" t="s">
        <v>37</v>
      </c>
      <c r="F36" s="2" t="s">
        <v>19</v>
      </c>
      <c r="G36" s="1" t="s">
        <v>136</v>
      </c>
      <c r="H36" s="2" t="s">
        <v>40</v>
      </c>
      <c r="I36" s="5">
        <v>810.14</v>
      </c>
      <c r="J36" s="2">
        <v>1</v>
      </c>
      <c r="K36" s="4">
        <v>42.06</v>
      </c>
    </row>
    <row r="37" spans="1:11" x14ac:dyDescent="0.3">
      <c r="A37" s="3">
        <v>45685</v>
      </c>
      <c r="B37" s="10">
        <f>YEAR(Table1[[#This Row],[Order Date]])</f>
        <v>2025</v>
      </c>
      <c r="C37" s="10">
        <f>MONTH(Table1[[#This Row],[Order Date]])</f>
        <v>1</v>
      </c>
      <c r="D37" s="2" t="s">
        <v>60</v>
      </c>
      <c r="E37" s="2" t="s">
        <v>22</v>
      </c>
      <c r="F37" s="2" t="s">
        <v>10</v>
      </c>
      <c r="G37" s="1" t="s">
        <v>135</v>
      </c>
      <c r="H37" s="2" t="s">
        <v>13</v>
      </c>
      <c r="I37" s="5">
        <v>841.48</v>
      </c>
      <c r="J37" s="2">
        <v>1</v>
      </c>
      <c r="K37" s="4">
        <v>198.11</v>
      </c>
    </row>
    <row r="38" spans="1:11" x14ac:dyDescent="0.3">
      <c r="A38" s="3">
        <v>45687</v>
      </c>
      <c r="B38" s="10">
        <f>YEAR(Table1[[#This Row],[Order Date]])</f>
        <v>2025</v>
      </c>
      <c r="C38" s="10">
        <f>MONTH(Table1[[#This Row],[Order Date]])</f>
        <v>1</v>
      </c>
      <c r="D38" s="2" t="s">
        <v>84</v>
      </c>
      <c r="E38" s="2" t="s">
        <v>9</v>
      </c>
      <c r="F38" s="2" t="s">
        <v>28</v>
      </c>
      <c r="G38" s="1" t="s">
        <v>137</v>
      </c>
      <c r="H38" s="2" t="s">
        <v>35</v>
      </c>
      <c r="I38" s="5">
        <v>1083.0999999999999</v>
      </c>
      <c r="J38" s="2">
        <v>5</v>
      </c>
      <c r="K38" s="4">
        <v>57.13</v>
      </c>
    </row>
    <row r="39" spans="1:11" x14ac:dyDescent="0.3">
      <c r="A39" s="3">
        <v>45688</v>
      </c>
      <c r="B39" s="10">
        <f>YEAR(Table1[[#This Row],[Order Date]])</f>
        <v>2025</v>
      </c>
      <c r="C39" s="10">
        <f>MONTH(Table1[[#This Row],[Order Date]])</f>
        <v>1</v>
      </c>
      <c r="D39" s="2" t="s">
        <v>71</v>
      </c>
      <c r="E39" s="2" t="s">
        <v>39</v>
      </c>
      <c r="F39" s="2" t="s">
        <v>10</v>
      </c>
      <c r="G39" s="1" t="s">
        <v>135</v>
      </c>
      <c r="H39" s="2" t="s">
        <v>49</v>
      </c>
      <c r="I39" s="5">
        <v>1262.6600000000001</v>
      </c>
      <c r="J39" s="2">
        <v>2</v>
      </c>
      <c r="K39" s="4">
        <v>232.12</v>
      </c>
    </row>
    <row r="40" spans="1:11" x14ac:dyDescent="0.3">
      <c r="A40" s="3">
        <v>45688</v>
      </c>
      <c r="B40" s="10">
        <f>YEAR(Table1[[#This Row],[Order Date]])</f>
        <v>2025</v>
      </c>
      <c r="C40" s="10">
        <f>MONTH(Table1[[#This Row],[Order Date]])</f>
        <v>1</v>
      </c>
      <c r="D40" s="2" t="s">
        <v>54</v>
      </c>
      <c r="E40" s="2" t="s">
        <v>15</v>
      </c>
      <c r="F40" s="2" t="s">
        <v>10</v>
      </c>
      <c r="G40" s="1" t="s">
        <v>135</v>
      </c>
      <c r="H40" s="2" t="s">
        <v>23</v>
      </c>
      <c r="I40" s="5">
        <v>202.98</v>
      </c>
      <c r="J40" s="2">
        <v>1</v>
      </c>
      <c r="K40" s="4">
        <v>12.4</v>
      </c>
    </row>
    <row r="41" spans="1:11" x14ac:dyDescent="0.3">
      <c r="A41" s="3">
        <v>45691</v>
      </c>
      <c r="B41" s="10">
        <f>YEAR(Table1[[#This Row],[Order Date]])</f>
        <v>2025</v>
      </c>
      <c r="C41" s="10">
        <f>MONTH(Table1[[#This Row],[Order Date]])</f>
        <v>2</v>
      </c>
      <c r="D41" s="2" t="s">
        <v>79</v>
      </c>
      <c r="E41" s="2" t="s">
        <v>39</v>
      </c>
      <c r="F41" s="2" t="s">
        <v>28</v>
      </c>
      <c r="G41" s="1" t="s">
        <v>137</v>
      </c>
      <c r="H41" s="2" t="s">
        <v>35</v>
      </c>
      <c r="I41" s="5">
        <v>351.8</v>
      </c>
      <c r="J41" s="2">
        <v>4</v>
      </c>
      <c r="K41" s="4">
        <v>24.43</v>
      </c>
    </row>
    <row r="42" spans="1:11" x14ac:dyDescent="0.3">
      <c r="A42" s="3">
        <v>45692</v>
      </c>
      <c r="B42" s="10">
        <f>YEAR(Table1[[#This Row],[Order Date]])</f>
        <v>2025</v>
      </c>
      <c r="C42" s="10">
        <f>MONTH(Table1[[#This Row],[Order Date]])</f>
        <v>2</v>
      </c>
      <c r="D42" s="2" t="s">
        <v>70</v>
      </c>
      <c r="E42" s="2" t="s">
        <v>39</v>
      </c>
      <c r="F42" s="2" t="s">
        <v>19</v>
      </c>
      <c r="G42" s="1" t="s">
        <v>136</v>
      </c>
      <c r="H42" s="2" t="s">
        <v>20</v>
      </c>
      <c r="I42" s="5">
        <v>1118.8800000000001</v>
      </c>
      <c r="J42" s="2">
        <v>3</v>
      </c>
      <c r="K42" s="4">
        <v>219.12</v>
      </c>
    </row>
    <row r="43" spans="1:11" x14ac:dyDescent="0.3">
      <c r="A43" s="3">
        <v>45693</v>
      </c>
      <c r="B43" s="10">
        <f>YEAR(Table1[[#This Row],[Order Date]])</f>
        <v>2025</v>
      </c>
      <c r="C43" s="10">
        <f>MONTH(Table1[[#This Row],[Order Date]])</f>
        <v>2</v>
      </c>
      <c r="D43" s="2" t="s">
        <v>36</v>
      </c>
      <c r="E43" s="2" t="s">
        <v>39</v>
      </c>
      <c r="F43" s="2" t="s">
        <v>10</v>
      </c>
      <c r="G43" s="1" t="s">
        <v>135</v>
      </c>
      <c r="H43" s="2" t="s">
        <v>13</v>
      </c>
      <c r="I43" s="5">
        <v>951.44</v>
      </c>
      <c r="J43" s="2">
        <v>5</v>
      </c>
      <c r="K43" s="4">
        <v>69.38</v>
      </c>
    </row>
    <row r="44" spans="1:11" x14ac:dyDescent="0.3">
      <c r="A44" s="3">
        <v>45694</v>
      </c>
      <c r="B44" s="10">
        <f>YEAR(Table1[[#This Row],[Order Date]])</f>
        <v>2025</v>
      </c>
      <c r="C44" s="10">
        <f>MONTH(Table1[[#This Row],[Order Date]])</f>
        <v>2</v>
      </c>
      <c r="D44" s="2" t="s">
        <v>92</v>
      </c>
      <c r="E44" s="2" t="s">
        <v>34</v>
      </c>
      <c r="F44" s="2" t="s">
        <v>19</v>
      </c>
      <c r="G44" s="1" t="s">
        <v>136</v>
      </c>
      <c r="H44" s="2" t="s">
        <v>65</v>
      </c>
      <c r="I44" s="5">
        <v>739.24</v>
      </c>
      <c r="J44" s="2">
        <v>3</v>
      </c>
      <c r="K44" s="4">
        <v>219.49</v>
      </c>
    </row>
    <row r="45" spans="1:11" x14ac:dyDescent="0.3">
      <c r="A45" s="3">
        <v>45695</v>
      </c>
      <c r="B45" s="10">
        <f>YEAR(Table1[[#This Row],[Order Date]])</f>
        <v>2025</v>
      </c>
      <c r="C45" s="10">
        <f>MONTH(Table1[[#This Row],[Order Date]])</f>
        <v>2</v>
      </c>
      <c r="D45" s="2" t="s">
        <v>94</v>
      </c>
      <c r="E45" s="2" t="s">
        <v>39</v>
      </c>
      <c r="F45" s="2" t="s">
        <v>19</v>
      </c>
      <c r="G45" s="1" t="s">
        <v>136</v>
      </c>
      <c r="H45" s="2" t="s">
        <v>65</v>
      </c>
      <c r="I45" s="5">
        <v>1448.03</v>
      </c>
      <c r="J45" s="2">
        <v>3</v>
      </c>
      <c r="K45" s="4">
        <v>78.69</v>
      </c>
    </row>
    <row r="46" spans="1:11" x14ac:dyDescent="0.3">
      <c r="A46" s="3">
        <v>45696</v>
      </c>
      <c r="B46" s="10">
        <f>YEAR(Table1[[#This Row],[Order Date]])</f>
        <v>2025</v>
      </c>
      <c r="C46" s="10">
        <f>MONTH(Table1[[#This Row],[Order Date]])</f>
        <v>2</v>
      </c>
      <c r="D46" s="2" t="s">
        <v>61</v>
      </c>
      <c r="E46" s="2" t="s">
        <v>34</v>
      </c>
      <c r="F46" s="2" t="s">
        <v>19</v>
      </c>
      <c r="G46" s="1" t="s">
        <v>136</v>
      </c>
      <c r="H46" s="2" t="s">
        <v>32</v>
      </c>
      <c r="I46" s="5">
        <v>931.2</v>
      </c>
      <c r="J46" s="2">
        <v>1</v>
      </c>
      <c r="K46" s="4">
        <v>199.21</v>
      </c>
    </row>
    <row r="47" spans="1:11" x14ac:dyDescent="0.3">
      <c r="A47" s="3">
        <v>45697</v>
      </c>
      <c r="B47" s="10">
        <f>YEAR(Table1[[#This Row],[Order Date]])</f>
        <v>2025</v>
      </c>
      <c r="C47" s="10">
        <f>MONTH(Table1[[#This Row],[Order Date]])</f>
        <v>2</v>
      </c>
      <c r="D47" s="2" t="s">
        <v>85</v>
      </c>
      <c r="E47" s="2" t="s">
        <v>9</v>
      </c>
      <c r="F47" s="2" t="s">
        <v>28</v>
      </c>
      <c r="G47" s="1" t="s">
        <v>137</v>
      </c>
      <c r="H47" s="2" t="s">
        <v>35</v>
      </c>
      <c r="I47" s="5">
        <v>209.37</v>
      </c>
      <c r="J47" s="2">
        <v>5</v>
      </c>
      <c r="K47" s="4">
        <v>11.47</v>
      </c>
    </row>
    <row r="48" spans="1:11" x14ac:dyDescent="0.3">
      <c r="A48" s="3">
        <v>45698</v>
      </c>
      <c r="B48" s="10">
        <f>YEAR(Table1[[#This Row],[Order Date]])</f>
        <v>2025</v>
      </c>
      <c r="C48" s="10">
        <f>MONTH(Table1[[#This Row],[Order Date]])</f>
        <v>2</v>
      </c>
      <c r="D48" s="2" t="s">
        <v>84</v>
      </c>
      <c r="E48" s="2" t="s">
        <v>31</v>
      </c>
      <c r="F48" s="2" t="s">
        <v>28</v>
      </c>
      <c r="G48" s="1" t="s">
        <v>137</v>
      </c>
      <c r="H48" s="2" t="s">
        <v>35</v>
      </c>
      <c r="I48" s="5">
        <v>517.53</v>
      </c>
      <c r="J48" s="2">
        <v>3</v>
      </c>
      <c r="K48" s="4">
        <v>62.34</v>
      </c>
    </row>
    <row r="49" spans="1:11" x14ac:dyDescent="0.3">
      <c r="A49" s="3">
        <v>45699</v>
      </c>
      <c r="B49" s="10">
        <f>YEAR(Table1[[#This Row],[Order Date]])</f>
        <v>2025</v>
      </c>
      <c r="C49" s="10">
        <f>MONTH(Table1[[#This Row],[Order Date]])</f>
        <v>2</v>
      </c>
      <c r="D49" s="2" t="s">
        <v>122</v>
      </c>
      <c r="E49" s="2" t="s">
        <v>77</v>
      </c>
      <c r="F49" s="2" t="s">
        <v>28</v>
      </c>
      <c r="G49" s="1" t="s">
        <v>137</v>
      </c>
      <c r="H49" s="2" t="s">
        <v>73</v>
      </c>
      <c r="I49" s="5">
        <v>1303.2</v>
      </c>
      <c r="J49" s="2">
        <v>3</v>
      </c>
      <c r="K49" s="4">
        <v>224.43</v>
      </c>
    </row>
    <row r="50" spans="1:11" x14ac:dyDescent="0.3">
      <c r="A50" s="3">
        <v>45700</v>
      </c>
      <c r="B50" s="10">
        <f>YEAR(Table1[[#This Row],[Order Date]])</f>
        <v>2025</v>
      </c>
      <c r="C50" s="10">
        <f>MONTH(Table1[[#This Row],[Order Date]])</f>
        <v>2</v>
      </c>
      <c r="D50" s="2" t="s">
        <v>44</v>
      </c>
      <c r="E50" s="2" t="s">
        <v>77</v>
      </c>
      <c r="F50" s="2" t="s">
        <v>28</v>
      </c>
      <c r="G50" s="1" t="s">
        <v>137</v>
      </c>
      <c r="H50" s="2" t="s">
        <v>58</v>
      </c>
      <c r="I50" s="5">
        <v>1062.3</v>
      </c>
      <c r="J50" s="2">
        <v>5</v>
      </c>
      <c r="K50" s="4">
        <v>189.44</v>
      </c>
    </row>
    <row r="51" spans="1:11" x14ac:dyDescent="0.3">
      <c r="A51" s="3">
        <v>45700</v>
      </c>
      <c r="B51" s="10">
        <f>YEAR(Table1[[#This Row],[Order Date]])</f>
        <v>2025</v>
      </c>
      <c r="C51" s="10">
        <f>MONTH(Table1[[#This Row],[Order Date]])</f>
        <v>2</v>
      </c>
      <c r="D51" s="2" t="s">
        <v>123</v>
      </c>
      <c r="E51" s="2" t="s">
        <v>37</v>
      </c>
      <c r="F51" s="2" t="s">
        <v>19</v>
      </c>
      <c r="G51" s="1" t="s">
        <v>136</v>
      </c>
      <c r="H51" s="2" t="s">
        <v>32</v>
      </c>
      <c r="I51" s="5">
        <v>348.63</v>
      </c>
      <c r="J51" s="2">
        <v>2</v>
      </c>
      <c r="K51" s="4">
        <v>68.599999999999994</v>
      </c>
    </row>
    <row r="52" spans="1:11" x14ac:dyDescent="0.3">
      <c r="A52" s="3">
        <v>45700</v>
      </c>
      <c r="B52" s="10">
        <f>YEAR(Table1[[#This Row],[Order Date]])</f>
        <v>2025</v>
      </c>
      <c r="C52" s="10">
        <f>MONTH(Table1[[#This Row],[Order Date]])</f>
        <v>2</v>
      </c>
      <c r="D52" s="2" t="s">
        <v>38</v>
      </c>
      <c r="E52" s="2" t="s">
        <v>77</v>
      </c>
      <c r="F52" s="2" t="s">
        <v>19</v>
      </c>
      <c r="G52" s="1" t="s">
        <v>136</v>
      </c>
      <c r="H52" s="2" t="s">
        <v>65</v>
      </c>
      <c r="I52" s="5">
        <v>155.37</v>
      </c>
      <c r="J52" s="2">
        <v>3</v>
      </c>
      <c r="K52" s="4">
        <v>33.049999999999997</v>
      </c>
    </row>
    <row r="53" spans="1:11" x14ac:dyDescent="0.3">
      <c r="A53" s="3">
        <v>45702</v>
      </c>
      <c r="B53" s="10">
        <f>YEAR(Table1[[#This Row],[Order Date]])</f>
        <v>2025</v>
      </c>
      <c r="C53" s="10">
        <f>MONTH(Table1[[#This Row],[Order Date]])</f>
        <v>2</v>
      </c>
      <c r="D53" s="2" t="s">
        <v>51</v>
      </c>
      <c r="E53" s="2" t="s">
        <v>39</v>
      </c>
      <c r="F53" s="2" t="s">
        <v>10</v>
      </c>
      <c r="G53" s="1" t="s">
        <v>135</v>
      </c>
      <c r="H53" s="2" t="s">
        <v>23</v>
      </c>
      <c r="I53" s="5">
        <v>250.22</v>
      </c>
      <c r="J53" s="2">
        <v>2</v>
      </c>
      <c r="K53" s="4">
        <v>51.57</v>
      </c>
    </row>
    <row r="54" spans="1:11" x14ac:dyDescent="0.3">
      <c r="A54" s="3">
        <v>45703</v>
      </c>
      <c r="B54" s="10">
        <f>YEAR(Table1[[#This Row],[Order Date]])</f>
        <v>2025</v>
      </c>
      <c r="C54" s="10">
        <f>MONTH(Table1[[#This Row],[Order Date]])</f>
        <v>2</v>
      </c>
      <c r="D54" s="2" t="s">
        <v>98</v>
      </c>
      <c r="E54" s="2" t="s">
        <v>18</v>
      </c>
      <c r="F54" s="2" t="s">
        <v>28</v>
      </c>
      <c r="G54" s="1" t="s">
        <v>137</v>
      </c>
      <c r="H54" s="2" t="s">
        <v>35</v>
      </c>
      <c r="I54" s="5">
        <v>831.87</v>
      </c>
      <c r="J54" s="2">
        <v>5</v>
      </c>
      <c r="K54" s="4">
        <v>47.08</v>
      </c>
    </row>
    <row r="55" spans="1:11" x14ac:dyDescent="0.3">
      <c r="A55" s="3">
        <v>45703</v>
      </c>
      <c r="B55" s="10">
        <f>YEAR(Table1[[#This Row],[Order Date]])</f>
        <v>2025</v>
      </c>
      <c r="C55" s="10">
        <f>MONTH(Table1[[#This Row],[Order Date]])</f>
        <v>2</v>
      </c>
      <c r="D55" s="2" t="s">
        <v>107</v>
      </c>
      <c r="E55" s="2" t="s">
        <v>18</v>
      </c>
      <c r="F55" s="2" t="s">
        <v>10</v>
      </c>
      <c r="G55" s="1" t="s">
        <v>135</v>
      </c>
      <c r="H55" s="2" t="s">
        <v>11</v>
      </c>
      <c r="I55" s="5">
        <v>1324.57</v>
      </c>
      <c r="J55" s="2">
        <v>5</v>
      </c>
      <c r="K55" s="4">
        <v>302.68</v>
      </c>
    </row>
    <row r="56" spans="1:11" x14ac:dyDescent="0.3">
      <c r="A56" s="3">
        <v>45704</v>
      </c>
      <c r="B56" s="10">
        <f>YEAR(Table1[[#This Row],[Order Date]])</f>
        <v>2025</v>
      </c>
      <c r="C56" s="10">
        <f>MONTH(Table1[[#This Row],[Order Date]])</f>
        <v>2</v>
      </c>
      <c r="D56" s="2" t="s">
        <v>75</v>
      </c>
      <c r="E56" s="2" t="s">
        <v>31</v>
      </c>
      <c r="F56" s="2" t="s">
        <v>10</v>
      </c>
      <c r="G56" s="1" t="s">
        <v>135</v>
      </c>
      <c r="H56" s="2" t="s">
        <v>23</v>
      </c>
      <c r="I56" s="5">
        <v>1356.55</v>
      </c>
      <c r="J56" s="2">
        <v>2</v>
      </c>
      <c r="K56" s="4">
        <v>124.47</v>
      </c>
    </row>
    <row r="57" spans="1:11" x14ac:dyDescent="0.3">
      <c r="A57" s="3">
        <v>45705</v>
      </c>
      <c r="B57" s="10">
        <f>YEAR(Table1[[#This Row],[Order Date]])</f>
        <v>2025</v>
      </c>
      <c r="C57" s="10">
        <f>MONTH(Table1[[#This Row],[Order Date]])</f>
        <v>2</v>
      </c>
      <c r="D57" s="2" t="s">
        <v>33</v>
      </c>
      <c r="E57" s="2" t="s">
        <v>22</v>
      </c>
      <c r="F57" s="2" t="s">
        <v>19</v>
      </c>
      <c r="G57" s="1" t="s">
        <v>136</v>
      </c>
      <c r="H57" s="2" t="s">
        <v>20</v>
      </c>
      <c r="I57" s="5">
        <v>454.67</v>
      </c>
      <c r="J57" s="2">
        <v>3</v>
      </c>
      <c r="K57" s="4">
        <v>58.19</v>
      </c>
    </row>
    <row r="58" spans="1:11" x14ac:dyDescent="0.3">
      <c r="A58" s="3">
        <v>45706</v>
      </c>
      <c r="B58" s="10">
        <f>YEAR(Table1[[#This Row],[Order Date]])</f>
        <v>2025</v>
      </c>
      <c r="C58" s="10">
        <f>MONTH(Table1[[#This Row],[Order Date]])</f>
        <v>2</v>
      </c>
      <c r="D58" s="2" t="s">
        <v>17</v>
      </c>
      <c r="E58" s="2" t="s">
        <v>18</v>
      </c>
      <c r="F58" s="2" t="s">
        <v>19</v>
      </c>
      <c r="G58" s="1" t="s">
        <v>136</v>
      </c>
      <c r="H58" s="2" t="s">
        <v>20</v>
      </c>
      <c r="I58" s="5">
        <v>463.32</v>
      </c>
      <c r="J58" s="2">
        <v>5</v>
      </c>
      <c r="K58" s="4">
        <v>73.2</v>
      </c>
    </row>
    <row r="59" spans="1:11" x14ac:dyDescent="0.3">
      <c r="A59" s="3">
        <v>45706</v>
      </c>
      <c r="B59" s="10">
        <f>YEAR(Table1[[#This Row],[Order Date]])</f>
        <v>2025</v>
      </c>
      <c r="C59" s="10">
        <f>MONTH(Table1[[#This Row],[Order Date]])</f>
        <v>2</v>
      </c>
      <c r="D59" s="2" t="s">
        <v>52</v>
      </c>
      <c r="E59" s="2" t="s">
        <v>25</v>
      </c>
      <c r="F59" s="2" t="s">
        <v>10</v>
      </c>
      <c r="G59" s="1" t="s">
        <v>135</v>
      </c>
      <c r="H59" s="2" t="s">
        <v>11</v>
      </c>
      <c r="I59" s="5">
        <v>1196.8399999999999</v>
      </c>
      <c r="J59" s="2">
        <v>1</v>
      </c>
      <c r="K59" s="4">
        <v>60.21</v>
      </c>
    </row>
    <row r="60" spans="1:11" x14ac:dyDescent="0.3">
      <c r="A60" s="3">
        <v>45708</v>
      </c>
      <c r="B60" s="10">
        <f>YEAR(Table1[[#This Row],[Order Date]])</f>
        <v>2025</v>
      </c>
      <c r="C60" s="10">
        <f>MONTH(Table1[[#This Row],[Order Date]])</f>
        <v>2</v>
      </c>
      <c r="D60" s="2" t="s">
        <v>21</v>
      </c>
      <c r="E60" s="2" t="s">
        <v>39</v>
      </c>
      <c r="F60" s="2" t="s">
        <v>28</v>
      </c>
      <c r="G60" s="1" t="s">
        <v>137</v>
      </c>
      <c r="H60" s="2" t="s">
        <v>35</v>
      </c>
      <c r="I60" s="5">
        <v>733.56</v>
      </c>
      <c r="J60" s="2">
        <v>3</v>
      </c>
      <c r="K60" s="4">
        <v>156.24</v>
      </c>
    </row>
    <row r="61" spans="1:11" x14ac:dyDescent="0.3">
      <c r="A61" s="3">
        <v>45708</v>
      </c>
      <c r="B61" s="10">
        <f>YEAR(Table1[[#This Row],[Order Date]])</f>
        <v>2025</v>
      </c>
      <c r="C61" s="10">
        <f>MONTH(Table1[[#This Row],[Order Date]])</f>
        <v>2</v>
      </c>
      <c r="D61" s="2" t="s">
        <v>88</v>
      </c>
      <c r="E61" s="2" t="s">
        <v>15</v>
      </c>
      <c r="F61" s="2" t="s">
        <v>28</v>
      </c>
      <c r="G61" s="1" t="s">
        <v>137</v>
      </c>
      <c r="H61" s="2" t="s">
        <v>29</v>
      </c>
      <c r="I61" s="5">
        <v>1481.8</v>
      </c>
      <c r="J61" s="2">
        <v>3</v>
      </c>
      <c r="K61" s="4">
        <v>295.27</v>
      </c>
    </row>
    <row r="62" spans="1:11" x14ac:dyDescent="0.3">
      <c r="A62" s="3">
        <v>45708</v>
      </c>
      <c r="B62" s="10">
        <f>YEAR(Table1[[#This Row],[Order Date]])</f>
        <v>2025</v>
      </c>
      <c r="C62" s="10">
        <f>MONTH(Table1[[#This Row],[Order Date]])</f>
        <v>2</v>
      </c>
      <c r="D62" s="2" t="s">
        <v>46</v>
      </c>
      <c r="E62" s="2" t="s">
        <v>22</v>
      </c>
      <c r="F62" s="2" t="s">
        <v>28</v>
      </c>
      <c r="G62" s="1" t="s">
        <v>137</v>
      </c>
      <c r="H62" s="2" t="s">
        <v>73</v>
      </c>
      <c r="I62" s="5">
        <v>1031.0899999999999</v>
      </c>
      <c r="J62" s="2">
        <v>4</v>
      </c>
      <c r="K62" s="4">
        <v>262.36</v>
      </c>
    </row>
    <row r="63" spans="1:11" x14ac:dyDescent="0.3">
      <c r="A63" s="3">
        <v>45708</v>
      </c>
      <c r="B63" s="10">
        <f>YEAR(Table1[[#This Row],[Order Date]])</f>
        <v>2025</v>
      </c>
      <c r="C63" s="10">
        <f>MONTH(Table1[[#This Row],[Order Date]])</f>
        <v>2</v>
      </c>
      <c r="D63" s="2" t="s">
        <v>41</v>
      </c>
      <c r="E63" s="2" t="s">
        <v>37</v>
      </c>
      <c r="F63" s="2" t="s">
        <v>10</v>
      </c>
      <c r="G63" s="1" t="s">
        <v>135</v>
      </c>
      <c r="H63" s="2" t="s">
        <v>13</v>
      </c>
      <c r="I63" s="5">
        <v>561.38</v>
      </c>
      <c r="J63" s="2">
        <v>4</v>
      </c>
      <c r="K63" s="4">
        <v>83.22</v>
      </c>
    </row>
    <row r="64" spans="1:11" x14ac:dyDescent="0.3">
      <c r="A64" s="3">
        <v>45709</v>
      </c>
      <c r="B64" s="10">
        <f>YEAR(Table1[[#This Row],[Order Date]])</f>
        <v>2025</v>
      </c>
      <c r="C64" s="10">
        <f>MONTH(Table1[[#This Row],[Order Date]])</f>
        <v>2</v>
      </c>
      <c r="D64" s="2" t="s">
        <v>50</v>
      </c>
      <c r="E64" s="2" t="s">
        <v>25</v>
      </c>
      <c r="F64" s="2" t="s">
        <v>19</v>
      </c>
      <c r="G64" s="1" t="s">
        <v>136</v>
      </c>
      <c r="H64" s="2" t="s">
        <v>40</v>
      </c>
      <c r="I64" s="5">
        <v>615.52</v>
      </c>
      <c r="J64" s="2">
        <v>2</v>
      </c>
      <c r="K64" s="4">
        <v>32.78</v>
      </c>
    </row>
    <row r="65" spans="1:11" x14ac:dyDescent="0.3">
      <c r="A65" s="3">
        <v>45710</v>
      </c>
      <c r="B65" s="10">
        <f>YEAR(Table1[[#This Row],[Order Date]])</f>
        <v>2025</v>
      </c>
      <c r="C65" s="10">
        <f>MONTH(Table1[[#This Row],[Order Date]])</f>
        <v>2</v>
      </c>
      <c r="D65" s="2" t="s">
        <v>71</v>
      </c>
      <c r="E65" s="2" t="s">
        <v>77</v>
      </c>
      <c r="F65" s="2" t="s">
        <v>19</v>
      </c>
      <c r="G65" s="1" t="s">
        <v>136</v>
      </c>
      <c r="H65" s="2" t="s">
        <v>20</v>
      </c>
      <c r="I65" s="5">
        <v>806.15</v>
      </c>
      <c r="J65" s="2">
        <v>4</v>
      </c>
      <c r="K65" s="4">
        <v>206.87</v>
      </c>
    </row>
    <row r="66" spans="1:11" x14ac:dyDescent="0.3">
      <c r="A66" s="3">
        <v>45712</v>
      </c>
      <c r="B66" s="10">
        <f>YEAR(Table1[[#This Row],[Order Date]])</f>
        <v>2025</v>
      </c>
      <c r="C66" s="10">
        <f>MONTH(Table1[[#This Row],[Order Date]])</f>
        <v>2</v>
      </c>
      <c r="D66" s="2" t="s">
        <v>26</v>
      </c>
      <c r="E66" s="2" t="s">
        <v>25</v>
      </c>
      <c r="F66" s="2" t="s">
        <v>10</v>
      </c>
      <c r="G66" s="1" t="s">
        <v>135</v>
      </c>
      <c r="H66" s="2" t="s">
        <v>16</v>
      </c>
      <c r="I66" s="5">
        <v>562.26</v>
      </c>
      <c r="J66" s="2">
        <v>4</v>
      </c>
      <c r="K66" s="4">
        <v>61.38</v>
      </c>
    </row>
    <row r="67" spans="1:11" x14ac:dyDescent="0.3">
      <c r="A67" s="3">
        <v>45713</v>
      </c>
      <c r="B67" s="10">
        <f>YEAR(Table1[[#This Row],[Order Date]])</f>
        <v>2025</v>
      </c>
      <c r="C67" s="10">
        <f>MONTH(Table1[[#This Row],[Order Date]])</f>
        <v>2</v>
      </c>
      <c r="D67" s="2" t="s">
        <v>14</v>
      </c>
      <c r="E67" s="2" t="s">
        <v>25</v>
      </c>
      <c r="F67" s="2" t="s">
        <v>10</v>
      </c>
      <c r="G67" s="1" t="s">
        <v>135</v>
      </c>
      <c r="H67" s="2" t="s">
        <v>13</v>
      </c>
      <c r="I67" s="5">
        <v>528.9</v>
      </c>
      <c r="J67" s="2">
        <v>1</v>
      </c>
      <c r="K67" s="4">
        <v>130.06</v>
      </c>
    </row>
    <row r="68" spans="1:11" x14ac:dyDescent="0.3">
      <c r="A68" s="3">
        <v>45716</v>
      </c>
      <c r="B68" s="10">
        <f>YEAR(Table1[[#This Row],[Order Date]])</f>
        <v>2025</v>
      </c>
      <c r="C68" s="10">
        <f>MONTH(Table1[[#This Row],[Order Date]])</f>
        <v>2</v>
      </c>
      <c r="D68" s="2" t="s">
        <v>59</v>
      </c>
      <c r="E68" s="2" t="s">
        <v>18</v>
      </c>
      <c r="F68" s="2" t="s">
        <v>10</v>
      </c>
      <c r="G68" s="1" t="s">
        <v>135</v>
      </c>
      <c r="H68" s="2" t="s">
        <v>13</v>
      </c>
      <c r="I68" s="5">
        <v>388.7</v>
      </c>
      <c r="J68" s="2">
        <v>2</v>
      </c>
      <c r="K68" s="4">
        <v>104.69</v>
      </c>
    </row>
    <row r="69" spans="1:11" x14ac:dyDescent="0.3">
      <c r="A69" s="3">
        <v>45717</v>
      </c>
      <c r="B69" s="10">
        <f>YEAR(Table1[[#This Row],[Order Date]])</f>
        <v>2025</v>
      </c>
      <c r="C69" s="10">
        <f>MONTH(Table1[[#This Row],[Order Date]])</f>
        <v>3</v>
      </c>
      <c r="D69" s="2" t="s">
        <v>12</v>
      </c>
      <c r="E69" s="2" t="s">
        <v>9</v>
      </c>
      <c r="F69" s="2" t="s">
        <v>10</v>
      </c>
      <c r="G69" s="1" t="s">
        <v>135</v>
      </c>
      <c r="H69" s="2" t="s">
        <v>16</v>
      </c>
      <c r="I69" s="5">
        <v>1131.04</v>
      </c>
      <c r="J69" s="2">
        <v>1</v>
      </c>
      <c r="K69" s="4">
        <v>88.64</v>
      </c>
    </row>
    <row r="70" spans="1:11" x14ac:dyDescent="0.3">
      <c r="A70" s="3">
        <v>45717</v>
      </c>
      <c r="B70" s="10">
        <f>YEAR(Table1[[#This Row],[Order Date]])</f>
        <v>2025</v>
      </c>
      <c r="C70" s="10">
        <f>MONTH(Table1[[#This Row],[Order Date]])</f>
        <v>3</v>
      </c>
      <c r="D70" s="2" t="s">
        <v>110</v>
      </c>
      <c r="E70" s="2" t="s">
        <v>39</v>
      </c>
      <c r="F70" s="2" t="s">
        <v>19</v>
      </c>
      <c r="G70" s="1" t="s">
        <v>136</v>
      </c>
      <c r="H70" s="2" t="s">
        <v>40</v>
      </c>
      <c r="I70" s="5">
        <v>1456.41</v>
      </c>
      <c r="J70" s="2">
        <v>4</v>
      </c>
      <c r="K70" s="4">
        <v>429.68</v>
      </c>
    </row>
    <row r="71" spans="1:11" x14ac:dyDescent="0.3">
      <c r="A71" s="3">
        <v>45719</v>
      </c>
      <c r="B71" s="10">
        <f>YEAR(Table1[[#This Row],[Order Date]])</f>
        <v>2025</v>
      </c>
      <c r="C71" s="10">
        <f>MONTH(Table1[[#This Row],[Order Date]])</f>
        <v>3</v>
      </c>
      <c r="D71" s="2" t="s">
        <v>81</v>
      </c>
      <c r="E71" s="2" t="s">
        <v>77</v>
      </c>
      <c r="F71" s="2" t="s">
        <v>28</v>
      </c>
      <c r="G71" s="1" t="s">
        <v>137</v>
      </c>
      <c r="H71" s="2" t="s">
        <v>35</v>
      </c>
      <c r="I71" s="5">
        <v>55.45</v>
      </c>
      <c r="J71" s="2">
        <v>4</v>
      </c>
      <c r="K71" s="4">
        <v>3.31</v>
      </c>
    </row>
    <row r="72" spans="1:11" x14ac:dyDescent="0.3">
      <c r="A72" s="3">
        <v>45720</v>
      </c>
      <c r="B72" s="10">
        <f>YEAR(Table1[[#This Row],[Order Date]])</f>
        <v>2025</v>
      </c>
      <c r="C72" s="10">
        <f>MONTH(Table1[[#This Row],[Order Date]])</f>
        <v>3</v>
      </c>
      <c r="D72" s="2" t="s">
        <v>87</v>
      </c>
      <c r="E72" s="2" t="s">
        <v>34</v>
      </c>
      <c r="F72" s="2" t="s">
        <v>10</v>
      </c>
      <c r="G72" s="1" t="s">
        <v>135</v>
      </c>
      <c r="H72" s="2" t="s">
        <v>23</v>
      </c>
      <c r="I72" s="5">
        <v>585.83000000000004</v>
      </c>
      <c r="J72" s="2">
        <v>5</v>
      </c>
      <c r="K72" s="4">
        <v>143.63999999999999</v>
      </c>
    </row>
    <row r="73" spans="1:11" x14ac:dyDescent="0.3">
      <c r="A73" s="3">
        <v>45720</v>
      </c>
      <c r="B73" s="10">
        <f>YEAR(Table1[[#This Row],[Order Date]])</f>
        <v>2025</v>
      </c>
      <c r="C73" s="10">
        <f>MONTH(Table1[[#This Row],[Order Date]])</f>
        <v>3</v>
      </c>
      <c r="D73" s="2" t="s">
        <v>132</v>
      </c>
      <c r="E73" s="2" t="s">
        <v>25</v>
      </c>
      <c r="F73" s="2" t="s">
        <v>19</v>
      </c>
      <c r="G73" s="1" t="s">
        <v>136</v>
      </c>
      <c r="H73" s="2" t="s">
        <v>32</v>
      </c>
      <c r="I73" s="5">
        <v>981.81</v>
      </c>
      <c r="J73" s="2">
        <v>2</v>
      </c>
      <c r="K73" s="4">
        <v>115.75</v>
      </c>
    </row>
    <row r="74" spans="1:11" x14ac:dyDescent="0.3">
      <c r="A74" s="3">
        <v>45721</v>
      </c>
      <c r="B74" s="10">
        <f>YEAR(Table1[[#This Row],[Order Date]])</f>
        <v>2025</v>
      </c>
      <c r="C74" s="10">
        <f>MONTH(Table1[[#This Row],[Order Date]])</f>
        <v>3</v>
      </c>
      <c r="D74" s="2" t="s">
        <v>67</v>
      </c>
      <c r="E74" s="2" t="s">
        <v>31</v>
      </c>
      <c r="F74" s="2" t="s">
        <v>19</v>
      </c>
      <c r="G74" s="1" t="s">
        <v>136</v>
      </c>
      <c r="H74" s="2" t="s">
        <v>65</v>
      </c>
      <c r="I74" s="5">
        <v>921.07</v>
      </c>
      <c r="J74" s="2">
        <v>4</v>
      </c>
      <c r="K74" s="4">
        <v>182.59</v>
      </c>
    </row>
    <row r="75" spans="1:11" x14ac:dyDescent="0.3">
      <c r="A75" s="3">
        <v>45721</v>
      </c>
      <c r="B75" s="10">
        <f>YEAR(Table1[[#This Row],[Order Date]])</f>
        <v>2025</v>
      </c>
      <c r="C75" s="10">
        <f>MONTH(Table1[[#This Row],[Order Date]])</f>
        <v>3</v>
      </c>
      <c r="D75" s="2" t="s">
        <v>106</v>
      </c>
      <c r="E75" s="2" t="s">
        <v>39</v>
      </c>
      <c r="F75" s="2" t="s">
        <v>19</v>
      </c>
      <c r="G75" s="1" t="s">
        <v>136</v>
      </c>
      <c r="H75" s="2" t="s">
        <v>45</v>
      </c>
      <c r="I75" s="5">
        <v>461.66</v>
      </c>
      <c r="J75" s="2">
        <v>2</v>
      </c>
      <c r="K75" s="4">
        <v>62.52</v>
      </c>
    </row>
    <row r="76" spans="1:11" x14ac:dyDescent="0.3">
      <c r="A76" s="3">
        <v>45721</v>
      </c>
      <c r="B76" s="10">
        <f>YEAR(Table1[[#This Row],[Order Date]])</f>
        <v>2025</v>
      </c>
      <c r="C76" s="10">
        <f>MONTH(Table1[[#This Row],[Order Date]])</f>
        <v>3</v>
      </c>
      <c r="D76" s="2" t="s">
        <v>123</v>
      </c>
      <c r="E76" s="2" t="s">
        <v>15</v>
      </c>
      <c r="F76" s="2" t="s">
        <v>19</v>
      </c>
      <c r="G76" s="1" t="s">
        <v>136</v>
      </c>
      <c r="H76" s="2" t="s">
        <v>40</v>
      </c>
      <c r="I76" s="5">
        <v>1476.32</v>
      </c>
      <c r="J76" s="2">
        <v>5</v>
      </c>
      <c r="K76" s="4">
        <v>341.47</v>
      </c>
    </row>
    <row r="77" spans="1:11" x14ac:dyDescent="0.3">
      <c r="A77" s="3">
        <v>45721</v>
      </c>
      <c r="B77" s="10">
        <f>YEAR(Table1[[#This Row],[Order Date]])</f>
        <v>2025</v>
      </c>
      <c r="C77" s="10">
        <f>MONTH(Table1[[#This Row],[Order Date]])</f>
        <v>3</v>
      </c>
      <c r="D77" s="2" t="s">
        <v>93</v>
      </c>
      <c r="E77" s="2" t="s">
        <v>9</v>
      </c>
      <c r="F77" s="2" t="s">
        <v>19</v>
      </c>
      <c r="G77" s="1" t="s">
        <v>136</v>
      </c>
      <c r="H77" s="2" t="s">
        <v>45</v>
      </c>
      <c r="I77" s="5">
        <v>1081.8399999999999</v>
      </c>
      <c r="J77" s="2">
        <v>2</v>
      </c>
      <c r="K77" s="4">
        <v>110.82</v>
      </c>
    </row>
    <row r="78" spans="1:11" x14ac:dyDescent="0.3">
      <c r="A78" s="3">
        <v>45722</v>
      </c>
      <c r="B78" s="10">
        <f>YEAR(Table1[[#This Row],[Order Date]])</f>
        <v>2025</v>
      </c>
      <c r="C78" s="10">
        <f>MONTH(Table1[[#This Row],[Order Date]])</f>
        <v>3</v>
      </c>
      <c r="D78" s="2" t="s">
        <v>27</v>
      </c>
      <c r="E78" s="2" t="s">
        <v>15</v>
      </c>
      <c r="F78" s="2" t="s">
        <v>10</v>
      </c>
      <c r="G78" s="1" t="s">
        <v>135</v>
      </c>
      <c r="H78" s="2" t="s">
        <v>13</v>
      </c>
      <c r="I78" s="5">
        <v>995.83</v>
      </c>
      <c r="J78" s="2">
        <v>2</v>
      </c>
      <c r="K78" s="4">
        <v>142.97999999999999</v>
      </c>
    </row>
    <row r="79" spans="1:11" x14ac:dyDescent="0.3">
      <c r="A79" s="3">
        <v>45723</v>
      </c>
      <c r="B79" s="10">
        <f>YEAR(Table1[[#This Row],[Order Date]])</f>
        <v>2025</v>
      </c>
      <c r="C79" s="10">
        <f>MONTH(Table1[[#This Row],[Order Date]])</f>
        <v>3</v>
      </c>
      <c r="D79" s="2" t="s">
        <v>122</v>
      </c>
      <c r="E79" s="2" t="s">
        <v>22</v>
      </c>
      <c r="F79" s="2" t="s">
        <v>10</v>
      </c>
      <c r="G79" s="1" t="s">
        <v>135</v>
      </c>
      <c r="H79" s="2" t="s">
        <v>13</v>
      </c>
      <c r="I79" s="5">
        <v>1308.5899999999999</v>
      </c>
      <c r="J79" s="2">
        <v>5</v>
      </c>
      <c r="K79" s="4">
        <v>211.32</v>
      </c>
    </row>
    <row r="80" spans="1:11" x14ac:dyDescent="0.3">
      <c r="A80" s="3">
        <v>45724</v>
      </c>
      <c r="B80" s="10">
        <f>YEAR(Table1[[#This Row],[Order Date]])</f>
        <v>2025</v>
      </c>
      <c r="C80" s="10">
        <f>MONTH(Table1[[#This Row],[Order Date]])</f>
        <v>3</v>
      </c>
      <c r="D80" s="2" t="s">
        <v>64</v>
      </c>
      <c r="E80" s="2" t="s">
        <v>39</v>
      </c>
      <c r="F80" s="2" t="s">
        <v>10</v>
      </c>
      <c r="G80" s="1" t="s">
        <v>135</v>
      </c>
      <c r="H80" s="2" t="s">
        <v>49</v>
      </c>
      <c r="I80" s="5">
        <v>407.08</v>
      </c>
      <c r="J80" s="2">
        <v>3</v>
      </c>
      <c r="K80" s="4">
        <v>81.150000000000006</v>
      </c>
    </row>
    <row r="81" spans="1:11" x14ac:dyDescent="0.3">
      <c r="A81" s="3">
        <v>45724</v>
      </c>
      <c r="B81" s="10">
        <f>YEAR(Table1[[#This Row],[Order Date]])</f>
        <v>2025</v>
      </c>
      <c r="C81" s="10">
        <f>MONTH(Table1[[#This Row],[Order Date]])</f>
        <v>3</v>
      </c>
      <c r="D81" s="2" t="s">
        <v>87</v>
      </c>
      <c r="E81" s="2" t="s">
        <v>22</v>
      </c>
      <c r="F81" s="2" t="s">
        <v>10</v>
      </c>
      <c r="G81" s="1" t="s">
        <v>135</v>
      </c>
      <c r="H81" s="2" t="s">
        <v>49</v>
      </c>
      <c r="I81" s="5">
        <v>1184.79</v>
      </c>
      <c r="J81" s="2">
        <v>5</v>
      </c>
      <c r="K81" s="4">
        <v>325.48</v>
      </c>
    </row>
    <row r="82" spans="1:11" x14ac:dyDescent="0.3">
      <c r="A82" s="3">
        <v>45725</v>
      </c>
      <c r="B82" s="10">
        <f>YEAR(Table1[[#This Row],[Order Date]])</f>
        <v>2025</v>
      </c>
      <c r="C82" s="10">
        <f>MONTH(Table1[[#This Row],[Order Date]])</f>
        <v>3</v>
      </c>
      <c r="D82" s="2" t="s">
        <v>46</v>
      </c>
      <c r="E82" s="2" t="s">
        <v>22</v>
      </c>
      <c r="F82" s="2" t="s">
        <v>10</v>
      </c>
      <c r="G82" s="1" t="s">
        <v>135</v>
      </c>
      <c r="H82" s="2" t="s">
        <v>16</v>
      </c>
      <c r="I82" s="5">
        <v>1097.1099999999999</v>
      </c>
      <c r="J82" s="2">
        <v>3</v>
      </c>
      <c r="K82" s="4">
        <v>208.79</v>
      </c>
    </row>
    <row r="83" spans="1:11" x14ac:dyDescent="0.3">
      <c r="A83" s="3">
        <v>45725</v>
      </c>
      <c r="B83" s="10">
        <f>YEAR(Table1[[#This Row],[Order Date]])</f>
        <v>2025</v>
      </c>
      <c r="C83" s="10">
        <f>MONTH(Table1[[#This Row],[Order Date]])</f>
        <v>3</v>
      </c>
      <c r="D83" s="2" t="s">
        <v>104</v>
      </c>
      <c r="E83" s="2" t="s">
        <v>34</v>
      </c>
      <c r="F83" s="2" t="s">
        <v>28</v>
      </c>
      <c r="G83" s="1" t="s">
        <v>137</v>
      </c>
      <c r="H83" s="2" t="s">
        <v>73</v>
      </c>
      <c r="I83" s="5">
        <v>1327.47</v>
      </c>
      <c r="J83" s="2">
        <v>1</v>
      </c>
      <c r="K83" s="4">
        <v>329.79</v>
      </c>
    </row>
    <row r="84" spans="1:11" x14ac:dyDescent="0.3">
      <c r="A84" s="3">
        <v>45725</v>
      </c>
      <c r="B84" s="10">
        <f>YEAR(Table1[[#This Row],[Order Date]])</f>
        <v>2025</v>
      </c>
      <c r="C84" s="10">
        <f>MONTH(Table1[[#This Row],[Order Date]])</f>
        <v>3</v>
      </c>
      <c r="D84" s="2" t="s">
        <v>109</v>
      </c>
      <c r="E84" s="2" t="s">
        <v>22</v>
      </c>
      <c r="F84" s="2" t="s">
        <v>28</v>
      </c>
      <c r="G84" s="1" t="s">
        <v>137</v>
      </c>
      <c r="H84" s="2" t="s">
        <v>69</v>
      </c>
      <c r="I84" s="5">
        <v>1160.3</v>
      </c>
      <c r="J84" s="2">
        <v>2</v>
      </c>
      <c r="K84" s="4">
        <v>76.930000000000007</v>
      </c>
    </row>
    <row r="85" spans="1:11" x14ac:dyDescent="0.3">
      <c r="A85" s="3">
        <v>45726</v>
      </c>
      <c r="B85" s="10">
        <f>YEAR(Table1[[#This Row],[Order Date]])</f>
        <v>2025</v>
      </c>
      <c r="C85" s="10">
        <f>MONTH(Table1[[#This Row],[Order Date]])</f>
        <v>3</v>
      </c>
      <c r="D85" s="2" t="s">
        <v>57</v>
      </c>
      <c r="E85" s="2" t="s">
        <v>9</v>
      </c>
      <c r="F85" s="2" t="s">
        <v>19</v>
      </c>
      <c r="G85" s="1" t="s">
        <v>136</v>
      </c>
      <c r="H85" s="2" t="s">
        <v>32</v>
      </c>
      <c r="I85" s="5">
        <v>664.07</v>
      </c>
      <c r="J85" s="2">
        <v>2</v>
      </c>
      <c r="K85" s="4">
        <v>37.409999999999997</v>
      </c>
    </row>
    <row r="86" spans="1:11" x14ac:dyDescent="0.3">
      <c r="A86" s="3">
        <v>45726</v>
      </c>
      <c r="B86" s="10">
        <f>YEAR(Table1[[#This Row],[Order Date]])</f>
        <v>2025</v>
      </c>
      <c r="C86" s="10">
        <f>MONTH(Table1[[#This Row],[Order Date]])</f>
        <v>3</v>
      </c>
      <c r="D86" s="2" t="s">
        <v>106</v>
      </c>
      <c r="E86" s="2" t="s">
        <v>77</v>
      </c>
      <c r="F86" s="2" t="s">
        <v>19</v>
      </c>
      <c r="G86" s="1" t="s">
        <v>136</v>
      </c>
      <c r="H86" s="2" t="s">
        <v>40</v>
      </c>
      <c r="I86" s="5">
        <v>963.01</v>
      </c>
      <c r="J86" s="2">
        <v>4</v>
      </c>
      <c r="K86" s="4">
        <v>73.239999999999995</v>
      </c>
    </row>
    <row r="87" spans="1:11" x14ac:dyDescent="0.3">
      <c r="A87" s="3">
        <v>45727</v>
      </c>
      <c r="B87" s="10">
        <f>YEAR(Table1[[#This Row],[Order Date]])</f>
        <v>2025</v>
      </c>
      <c r="C87" s="10">
        <f>MONTH(Table1[[#This Row],[Order Date]])</f>
        <v>3</v>
      </c>
      <c r="D87" s="2" t="s">
        <v>76</v>
      </c>
      <c r="E87" s="2" t="s">
        <v>9</v>
      </c>
      <c r="F87" s="2" t="s">
        <v>10</v>
      </c>
      <c r="G87" s="1" t="s">
        <v>135</v>
      </c>
      <c r="H87" s="2" t="s">
        <v>23</v>
      </c>
      <c r="I87" s="5">
        <v>861.7</v>
      </c>
      <c r="J87" s="2">
        <v>3</v>
      </c>
      <c r="K87" s="4">
        <v>223.74</v>
      </c>
    </row>
    <row r="88" spans="1:11" x14ac:dyDescent="0.3">
      <c r="A88" s="3">
        <v>45728</v>
      </c>
      <c r="B88" s="10">
        <f>YEAR(Table1[[#This Row],[Order Date]])</f>
        <v>2025</v>
      </c>
      <c r="C88" s="10">
        <f>MONTH(Table1[[#This Row],[Order Date]])</f>
        <v>3</v>
      </c>
      <c r="D88" s="2" t="s">
        <v>102</v>
      </c>
      <c r="E88" s="2" t="s">
        <v>15</v>
      </c>
      <c r="F88" s="2" t="s">
        <v>19</v>
      </c>
      <c r="G88" s="1" t="s">
        <v>136</v>
      </c>
      <c r="H88" s="2" t="s">
        <v>20</v>
      </c>
      <c r="I88" s="5">
        <v>1420.5</v>
      </c>
      <c r="J88" s="2">
        <v>3</v>
      </c>
      <c r="K88" s="4">
        <v>80.06</v>
      </c>
    </row>
    <row r="89" spans="1:11" x14ac:dyDescent="0.3">
      <c r="A89" s="3">
        <v>45729</v>
      </c>
      <c r="B89" s="10">
        <f>YEAR(Table1[[#This Row],[Order Date]])</f>
        <v>2025</v>
      </c>
      <c r="C89" s="10">
        <f>MONTH(Table1[[#This Row],[Order Date]])</f>
        <v>3</v>
      </c>
      <c r="D89" s="2" t="s">
        <v>74</v>
      </c>
      <c r="E89" s="2" t="s">
        <v>15</v>
      </c>
      <c r="F89" s="2" t="s">
        <v>19</v>
      </c>
      <c r="G89" s="1" t="s">
        <v>136</v>
      </c>
      <c r="H89" s="2" t="s">
        <v>65</v>
      </c>
      <c r="I89" s="5">
        <v>1155.69</v>
      </c>
      <c r="J89" s="2">
        <v>4</v>
      </c>
      <c r="K89" s="4">
        <v>190.44</v>
      </c>
    </row>
    <row r="90" spans="1:11" x14ac:dyDescent="0.3">
      <c r="A90" s="3">
        <v>45729</v>
      </c>
      <c r="B90" s="10">
        <f>YEAR(Table1[[#This Row],[Order Date]])</f>
        <v>2025</v>
      </c>
      <c r="C90" s="10">
        <f>MONTH(Table1[[#This Row],[Order Date]])</f>
        <v>3</v>
      </c>
      <c r="D90" s="2" t="s">
        <v>52</v>
      </c>
      <c r="E90" s="2" t="s">
        <v>39</v>
      </c>
      <c r="F90" s="2" t="s">
        <v>10</v>
      </c>
      <c r="G90" s="1" t="s">
        <v>135</v>
      </c>
      <c r="H90" s="2" t="s">
        <v>13</v>
      </c>
      <c r="I90" s="5">
        <v>1436.41</v>
      </c>
      <c r="J90" s="2">
        <v>2</v>
      </c>
      <c r="K90" s="4">
        <v>302</v>
      </c>
    </row>
    <row r="91" spans="1:11" x14ac:dyDescent="0.3">
      <c r="A91" s="3">
        <v>45732</v>
      </c>
      <c r="B91" s="10">
        <f>YEAR(Table1[[#This Row],[Order Date]])</f>
        <v>2025</v>
      </c>
      <c r="C91" s="10">
        <f>MONTH(Table1[[#This Row],[Order Date]])</f>
        <v>3</v>
      </c>
      <c r="D91" s="2" t="s">
        <v>68</v>
      </c>
      <c r="E91" s="2" t="s">
        <v>15</v>
      </c>
      <c r="F91" s="2" t="s">
        <v>28</v>
      </c>
      <c r="G91" s="1" t="s">
        <v>137</v>
      </c>
      <c r="H91" s="2" t="s">
        <v>69</v>
      </c>
      <c r="I91" s="5">
        <v>875.22</v>
      </c>
      <c r="J91" s="2">
        <v>1</v>
      </c>
      <c r="K91" s="4">
        <v>188.94</v>
      </c>
    </row>
    <row r="92" spans="1:11" x14ac:dyDescent="0.3">
      <c r="A92" s="3">
        <v>45732</v>
      </c>
      <c r="B92" s="10">
        <f>YEAR(Table1[[#This Row],[Order Date]])</f>
        <v>2025</v>
      </c>
      <c r="C92" s="10">
        <f>MONTH(Table1[[#This Row],[Order Date]])</f>
        <v>3</v>
      </c>
      <c r="D92" s="2" t="s">
        <v>38</v>
      </c>
      <c r="E92" s="2" t="s">
        <v>37</v>
      </c>
      <c r="F92" s="2" t="s">
        <v>19</v>
      </c>
      <c r="G92" s="1" t="s">
        <v>136</v>
      </c>
      <c r="H92" s="2" t="s">
        <v>20</v>
      </c>
      <c r="I92" s="5">
        <v>1425.85</v>
      </c>
      <c r="J92" s="2">
        <v>1</v>
      </c>
      <c r="K92" s="4">
        <v>137.29</v>
      </c>
    </row>
    <row r="93" spans="1:11" x14ac:dyDescent="0.3">
      <c r="A93" s="3">
        <v>45733</v>
      </c>
      <c r="B93" s="10">
        <f>YEAR(Table1[[#This Row],[Order Date]])</f>
        <v>2025</v>
      </c>
      <c r="C93" s="10">
        <f>MONTH(Table1[[#This Row],[Order Date]])</f>
        <v>3</v>
      </c>
      <c r="D93" s="2" t="s">
        <v>14</v>
      </c>
      <c r="E93" s="2" t="s">
        <v>15</v>
      </c>
      <c r="F93" s="2" t="s">
        <v>10</v>
      </c>
      <c r="G93" s="1" t="s">
        <v>135</v>
      </c>
      <c r="H93" s="2" t="s">
        <v>16</v>
      </c>
      <c r="I93" s="5">
        <v>1455.17</v>
      </c>
      <c r="J93" s="2">
        <v>4</v>
      </c>
      <c r="K93" s="4">
        <v>414.2</v>
      </c>
    </row>
    <row r="94" spans="1:11" x14ac:dyDescent="0.3">
      <c r="A94" s="3">
        <v>45733</v>
      </c>
      <c r="B94" s="10">
        <f>YEAR(Table1[[#This Row],[Order Date]])</f>
        <v>2025</v>
      </c>
      <c r="C94" s="10">
        <f>MONTH(Table1[[#This Row],[Order Date]])</f>
        <v>3</v>
      </c>
      <c r="D94" s="2" t="s">
        <v>75</v>
      </c>
      <c r="E94" s="2" t="s">
        <v>34</v>
      </c>
      <c r="F94" s="2" t="s">
        <v>19</v>
      </c>
      <c r="G94" s="1" t="s">
        <v>136</v>
      </c>
      <c r="H94" s="2" t="s">
        <v>32</v>
      </c>
      <c r="I94" s="5">
        <v>1061.69</v>
      </c>
      <c r="J94" s="2">
        <v>4</v>
      </c>
      <c r="K94" s="4">
        <v>235.7</v>
      </c>
    </row>
    <row r="95" spans="1:11" x14ac:dyDescent="0.3">
      <c r="A95" s="3">
        <v>45734</v>
      </c>
      <c r="B95" s="10">
        <f>YEAR(Table1[[#This Row],[Order Date]])</f>
        <v>2025</v>
      </c>
      <c r="C95" s="10">
        <f>MONTH(Table1[[#This Row],[Order Date]])</f>
        <v>3</v>
      </c>
      <c r="D95" s="2" t="s">
        <v>8</v>
      </c>
      <c r="E95" s="2" t="s">
        <v>25</v>
      </c>
      <c r="F95" s="2" t="s">
        <v>28</v>
      </c>
      <c r="G95" s="1" t="s">
        <v>137</v>
      </c>
      <c r="H95" s="2" t="s">
        <v>29</v>
      </c>
      <c r="I95" s="5">
        <v>788.5</v>
      </c>
      <c r="J95" s="2">
        <v>4</v>
      </c>
      <c r="K95" s="4">
        <v>75.19</v>
      </c>
    </row>
    <row r="96" spans="1:11" x14ac:dyDescent="0.3">
      <c r="A96" s="3">
        <v>45734</v>
      </c>
      <c r="B96" s="10">
        <f>YEAR(Table1[[#This Row],[Order Date]])</f>
        <v>2025</v>
      </c>
      <c r="C96" s="10">
        <f>MONTH(Table1[[#This Row],[Order Date]])</f>
        <v>3</v>
      </c>
      <c r="D96" s="2" t="s">
        <v>21</v>
      </c>
      <c r="E96" s="2" t="s">
        <v>31</v>
      </c>
      <c r="F96" s="2" t="s">
        <v>28</v>
      </c>
      <c r="G96" s="1" t="s">
        <v>137</v>
      </c>
      <c r="H96" s="2" t="s">
        <v>29</v>
      </c>
      <c r="I96" s="5">
        <v>1424.18</v>
      </c>
      <c r="J96" s="2">
        <v>2</v>
      </c>
      <c r="K96" s="4">
        <v>420.48</v>
      </c>
    </row>
    <row r="97" spans="1:11" x14ac:dyDescent="0.3">
      <c r="A97" s="3">
        <v>45736</v>
      </c>
      <c r="B97" s="10">
        <f>YEAR(Table1[[#This Row],[Order Date]])</f>
        <v>2025</v>
      </c>
      <c r="C97" s="10">
        <f>MONTH(Table1[[#This Row],[Order Date]])</f>
        <v>3</v>
      </c>
      <c r="D97" s="2" t="s">
        <v>91</v>
      </c>
      <c r="E97" s="2" t="s">
        <v>22</v>
      </c>
      <c r="F97" s="2" t="s">
        <v>28</v>
      </c>
      <c r="G97" s="1" t="s">
        <v>137</v>
      </c>
      <c r="H97" s="2" t="s">
        <v>35</v>
      </c>
      <c r="I97" s="5">
        <v>204.76</v>
      </c>
      <c r="J97" s="2">
        <v>4</v>
      </c>
      <c r="K97" s="4">
        <v>30.96</v>
      </c>
    </row>
    <row r="98" spans="1:11" x14ac:dyDescent="0.3">
      <c r="A98" s="3">
        <v>45736</v>
      </c>
      <c r="B98" s="10">
        <f>YEAR(Table1[[#This Row],[Order Date]])</f>
        <v>2025</v>
      </c>
      <c r="C98" s="10">
        <f>MONTH(Table1[[#This Row],[Order Date]])</f>
        <v>3</v>
      </c>
      <c r="D98" s="2" t="s">
        <v>56</v>
      </c>
      <c r="E98" s="2" t="s">
        <v>77</v>
      </c>
      <c r="F98" s="2" t="s">
        <v>10</v>
      </c>
      <c r="G98" s="1" t="s">
        <v>135</v>
      </c>
      <c r="H98" s="2" t="s">
        <v>11</v>
      </c>
      <c r="I98" s="5">
        <v>1317.09</v>
      </c>
      <c r="J98" s="2">
        <v>2</v>
      </c>
      <c r="K98" s="4">
        <v>285.74</v>
      </c>
    </row>
    <row r="99" spans="1:11" x14ac:dyDescent="0.3">
      <c r="A99" s="3">
        <v>45737</v>
      </c>
      <c r="B99" s="10">
        <f>YEAR(Table1[[#This Row],[Order Date]])</f>
        <v>2025</v>
      </c>
      <c r="C99" s="10">
        <f>MONTH(Table1[[#This Row],[Order Date]])</f>
        <v>3</v>
      </c>
      <c r="D99" s="2" t="s">
        <v>103</v>
      </c>
      <c r="E99" s="2" t="s">
        <v>39</v>
      </c>
      <c r="F99" s="2" t="s">
        <v>19</v>
      </c>
      <c r="G99" s="1" t="s">
        <v>136</v>
      </c>
      <c r="H99" s="2" t="s">
        <v>65</v>
      </c>
      <c r="I99" s="5">
        <v>1433.04</v>
      </c>
      <c r="J99" s="2">
        <v>2</v>
      </c>
      <c r="K99" s="4">
        <v>330.1</v>
      </c>
    </row>
    <row r="100" spans="1:11" x14ac:dyDescent="0.3">
      <c r="A100" s="3">
        <v>45738</v>
      </c>
      <c r="B100" s="10">
        <f>YEAR(Table1[[#This Row],[Order Date]])</f>
        <v>2025</v>
      </c>
      <c r="C100" s="10">
        <f>MONTH(Table1[[#This Row],[Order Date]])</f>
        <v>3</v>
      </c>
      <c r="D100" s="2" t="s">
        <v>44</v>
      </c>
      <c r="E100" s="2" t="s">
        <v>15</v>
      </c>
      <c r="F100" s="2" t="s">
        <v>10</v>
      </c>
      <c r="G100" s="1" t="s">
        <v>135</v>
      </c>
      <c r="H100" s="2" t="s">
        <v>16</v>
      </c>
      <c r="I100" s="5">
        <v>737.48</v>
      </c>
      <c r="J100" s="2">
        <v>4</v>
      </c>
      <c r="K100" s="4">
        <v>196.29</v>
      </c>
    </row>
    <row r="101" spans="1:11" x14ac:dyDescent="0.3">
      <c r="A101" s="3">
        <v>45739</v>
      </c>
      <c r="B101" s="10">
        <f>YEAR(Table1[[#This Row],[Order Date]])</f>
        <v>2025</v>
      </c>
      <c r="C101" s="10">
        <f>MONTH(Table1[[#This Row],[Order Date]])</f>
        <v>3</v>
      </c>
      <c r="D101" s="2" t="s">
        <v>90</v>
      </c>
      <c r="E101" s="2" t="s">
        <v>25</v>
      </c>
      <c r="F101" s="2" t="s">
        <v>10</v>
      </c>
      <c r="G101" s="1" t="s">
        <v>135</v>
      </c>
      <c r="H101" s="2" t="s">
        <v>16</v>
      </c>
      <c r="I101" s="5">
        <v>223.88</v>
      </c>
      <c r="J101" s="2">
        <v>2</v>
      </c>
      <c r="K101" s="4">
        <v>22.49</v>
      </c>
    </row>
    <row r="102" spans="1:11" x14ac:dyDescent="0.3">
      <c r="A102" s="3">
        <v>45740</v>
      </c>
      <c r="B102" s="10">
        <f>YEAR(Table1[[#This Row],[Order Date]])</f>
        <v>2025</v>
      </c>
      <c r="C102" s="10">
        <f>MONTH(Table1[[#This Row],[Order Date]])</f>
        <v>3</v>
      </c>
      <c r="D102" s="2" t="s">
        <v>70</v>
      </c>
      <c r="E102" s="2" t="s">
        <v>37</v>
      </c>
      <c r="F102" s="2" t="s">
        <v>19</v>
      </c>
      <c r="G102" s="1" t="s">
        <v>136</v>
      </c>
      <c r="H102" s="2" t="s">
        <v>45</v>
      </c>
      <c r="I102" s="5">
        <v>363.5</v>
      </c>
      <c r="J102" s="2">
        <v>5</v>
      </c>
      <c r="K102" s="4">
        <v>34.43</v>
      </c>
    </row>
    <row r="103" spans="1:11" x14ac:dyDescent="0.3">
      <c r="A103" s="3">
        <v>45740</v>
      </c>
      <c r="B103" s="10">
        <f>YEAR(Table1[[#This Row],[Order Date]])</f>
        <v>2025</v>
      </c>
      <c r="C103" s="10">
        <f>MONTH(Table1[[#This Row],[Order Date]])</f>
        <v>3</v>
      </c>
      <c r="D103" s="2" t="s">
        <v>87</v>
      </c>
      <c r="E103" s="2" t="s">
        <v>37</v>
      </c>
      <c r="F103" s="2" t="s">
        <v>10</v>
      </c>
      <c r="G103" s="1" t="s">
        <v>135</v>
      </c>
      <c r="H103" s="2" t="s">
        <v>11</v>
      </c>
      <c r="I103" s="5">
        <v>873.11</v>
      </c>
      <c r="J103" s="2">
        <v>1</v>
      </c>
      <c r="K103" s="4">
        <v>137.72999999999999</v>
      </c>
    </row>
    <row r="104" spans="1:11" x14ac:dyDescent="0.3">
      <c r="A104" s="3">
        <v>45741</v>
      </c>
      <c r="B104" s="10">
        <f>YEAR(Table1[[#This Row],[Order Date]])</f>
        <v>2025</v>
      </c>
      <c r="C104" s="10">
        <f>MONTH(Table1[[#This Row],[Order Date]])</f>
        <v>3</v>
      </c>
      <c r="D104" s="2" t="s">
        <v>50</v>
      </c>
      <c r="E104" s="2" t="s">
        <v>18</v>
      </c>
      <c r="F104" s="2" t="s">
        <v>19</v>
      </c>
      <c r="G104" s="1" t="s">
        <v>136</v>
      </c>
      <c r="H104" s="2" t="s">
        <v>65</v>
      </c>
      <c r="I104" s="5">
        <v>257.66000000000003</v>
      </c>
      <c r="J104" s="2">
        <v>1</v>
      </c>
      <c r="K104" s="4">
        <v>57.7</v>
      </c>
    </row>
    <row r="105" spans="1:11" x14ac:dyDescent="0.3">
      <c r="A105" s="3">
        <v>45742</v>
      </c>
      <c r="B105" s="10">
        <f>YEAR(Table1[[#This Row],[Order Date]])</f>
        <v>2025</v>
      </c>
      <c r="C105" s="10">
        <f>MONTH(Table1[[#This Row],[Order Date]])</f>
        <v>3</v>
      </c>
      <c r="D105" s="2" t="s">
        <v>26</v>
      </c>
      <c r="E105" s="2" t="s">
        <v>15</v>
      </c>
      <c r="F105" s="2" t="s">
        <v>19</v>
      </c>
      <c r="G105" s="1" t="s">
        <v>136</v>
      </c>
      <c r="H105" s="2" t="s">
        <v>65</v>
      </c>
      <c r="I105" s="5">
        <v>630.79</v>
      </c>
      <c r="J105" s="2">
        <v>5</v>
      </c>
      <c r="K105" s="4">
        <v>128.27000000000001</v>
      </c>
    </row>
    <row r="106" spans="1:11" x14ac:dyDescent="0.3">
      <c r="A106" s="3">
        <v>45742</v>
      </c>
      <c r="B106" s="10">
        <f>YEAR(Table1[[#This Row],[Order Date]])</f>
        <v>2025</v>
      </c>
      <c r="C106" s="10">
        <f>MONTH(Table1[[#This Row],[Order Date]])</f>
        <v>3</v>
      </c>
      <c r="D106" s="2" t="s">
        <v>44</v>
      </c>
      <c r="E106" s="2" t="s">
        <v>37</v>
      </c>
      <c r="F106" s="2" t="s">
        <v>10</v>
      </c>
      <c r="G106" s="1" t="s">
        <v>135</v>
      </c>
      <c r="H106" s="2" t="s">
        <v>49</v>
      </c>
      <c r="I106" s="5">
        <v>695.58</v>
      </c>
      <c r="J106" s="2">
        <v>3</v>
      </c>
      <c r="K106" s="4">
        <v>58.92</v>
      </c>
    </row>
    <row r="107" spans="1:11" x14ac:dyDescent="0.3">
      <c r="A107" s="3">
        <v>45742</v>
      </c>
      <c r="B107" s="10">
        <f>YEAR(Table1[[#This Row],[Order Date]])</f>
        <v>2025</v>
      </c>
      <c r="C107" s="10">
        <f>MONTH(Table1[[#This Row],[Order Date]])</f>
        <v>3</v>
      </c>
      <c r="D107" s="2" t="s">
        <v>132</v>
      </c>
      <c r="E107" s="2" t="s">
        <v>31</v>
      </c>
      <c r="F107" s="2" t="s">
        <v>28</v>
      </c>
      <c r="G107" s="1" t="s">
        <v>137</v>
      </c>
      <c r="H107" s="2" t="s">
        <v>73</v>
      </c>
      <c r="I107" s="5">
        <v>1121.43</v>
      </c>
      <c r="J107" s="2">
        <v>2</v>
      </c>
      <c r="K107" s="4">
        <v>254.48</v>
      </c>
    </row>
    <row r="108" spans="1:11" x14ac:dyDescent="0.3">
      <c r="A108" s="3">
        <v>45742</v>
      </c>
      <c r="B108" s="10">
        <f>YEAR(Table1[[#This Row],[Order Date]])</f>
        <v>2025</v>
      </c>
      <c r="C108" s="10">
        <f>MONTH(Table1[[#This Row],[Order Date]])</f>
        <v>3</v>
      </c>
      <c r="D108" s="2" t="s">
        <v>81</v>
      </c>
      <c r="E108" s="2" t="s">
        <v>31</v>
      </c>
      <c r="F108" s="2" t="s">
        <v>10</v>
      </c>
      <c r="G108" s="1" t="s">
        <v>135</v>
      </c>
      <c r="H108" s="2" t="s">
        <v>16</v>
      </c>
      <c r="I108" s="5">
        <v>1471.3</v>
      </c>
      <c r="J108" s="2">
        <v>2</v>
      </c>
      <c r="K108" s="4">
        <v>236.68</v>
      </c>
    </row>
    <row r="109" spans="1:11" x14ac:dyDescent="0.3">
      <c r="A109" s="3">
        <v>45742</v>
      </c>
      <c r="B109" s="10">
        <f>YEAR(Table1[[#This Row],[Order Date]])</f>
        <v>2025</v>
      </c>
      <c r="C109" s="10">
        <f>MONTH(Table1[[#This Row],[Order Date]])</f>
        <v>3</v>
      </c>
      <c r="D109" s="2" t="s">
        <v>122</v>
      </c>
      <c r="E109" s="2" t="s">
        <v>15</v>
      </c>
      <c r="F109" s="2" t="s">
        <v>10</v>
      </c>
      <c r="G109" s="1" t="s">
        <v>135</v>
      </c>
      <c r="H109" s="2" t="s">
        <v>16</v>
      </c>
      <c r="I109" s="5">
        <v>770.54</v>
      </c>
      <c r="J109" s="2">
        <v>5</v>
      </c>
      <c r="K109" s="4">
        <v>216.98</v>
      </c>
    </row>
    <row r="110" spans="1:11" x14ac:dyDescent="0.3">
      <c r="A110" s="3">
        <v>45743</v>
      </c>
      <c r="B110" s="10">
        <f>YEAR(Table1[[#This Row],[Order Date]])</f>
        <v>2025</v>
      </c>
      <c r="C110" s="10">
        <f>MONTH(Table1[[#This Row],[Order Date]])</f>
        <v>3</v>
      </c>
      <c r="D110" s="2" t="s">
        <v>71</v>
      </c>
      <c r="E110" s="2" t="s">
        <v>37</v>
      </c>
      <c r="F110" s="2" t="s">
        <v>10</v>
      </c>
      <c r="G110" s="1" t="s">
        <v>135</v>
      </c>
      <c r="H110" s="2" t="s">
        <v>49</v>
      </c>
      <c r="I110" s="5">
        <v>1114.27</v>
      </c>
      <c r="J110" s="2">
        <v>4</v>
      </c>
      <c r="K110" s="4">
        <v>290.22000000000003</v>
      </c>
    </row>
    <row r="111" spans="1:11" x14ac:dyDescent="0.3">
      <c r="A111" s="3">
        <v>45744</v>
      </c>
      <c r="B111" s="10">
        <f>YEAR(Table1[[#This Row],[Order Date]])</f>
        <v>2025</v>
      </c>
      <c r="C111" s="10">
        <f>MONTH(Table1[[#This Row],[Order Date]])</f>
        <v>3</v>
      </c>
      <c r="D111" s="2" t="s">
        <v>44</v>
      </c>
      <c r="E111" s="2" t="s">
        <v>31</v>
      </c>
      <c r="F111" s="2" t="s">
        <v>19</v>
      </c>
      <c r="G111" s="1" t="s">
        <v>136</v>
      </c>
      <c r="H111" s="2" t="s">
        <v>45</v>
      </c>
      <c r="I111" s="5">
        <v>200.09</v>
      </c>
      <c r="J111" s="2">
        <v>1</v>
      </c>
      <c r="K111" s="4">
        <v>26.88</v>
      </c>
    </row>
    <row r="112" spans="1:11" x14ac:dyDescent="0.3">
      <c r="A112" s="3">
        <v>45744</v>
      </c>
      <c r="B112" s="10">
        <f>YEAR(Table1[[#This Row],[Order Date]])</f>
        <v>2025</v>
      </c>
      <c r="C112" s="10">
        <f>MONTH(Table1[[#This Row],[Order Date]])</f>
        <v>3</v>
      </c>
      <c r="D112" s="2" t="s">
        <v>131</v>
      </c>
      <c r="E112" s="2" t="s">
        <v>34</v>
      </c>
      <c r="F112" s="2" t="s">
        <v>19</v>
      </c>
      <c r="G112" s="1" t="s">
        <v>136</v>
      </c>
      <c r="H112" s="2" t="s">
        <v>40</v>
      </c>
      <c r="I112" s="5">
        <v>1038.1099999999999</v>
      </c>
      <c r="J112" s="2">
        <v>1</v>
      </c>
      <c r="K112" s="4">
        <v>96.15</v>
      </c>
    </row>
    <row r="113" spans="1:11" x14ac:dyDescent="0.3">
      <c r="A113" s="3">
        <v>45745</v>
      </c>
      <c r="B113" s="10">
        <f>YEAR(Table1[[#This Row],[Order Date]])</f>
        <v>2025</v>
      </c>
      <c r="C113" s="10">
        <f>MONTH(Table1[[#This Row],[Order Date]])</f>
        <v>3</v>
      </c>
      <c r="D113" s="2" t="s">
        <v>70</v>
      </c>
      <c r="E113" s="2" t="s">
        <v>39</v>
      </c>
      <c r="F113" s="2" t="s">
        <v>19</v>
      </c>
      <c r="G113" s="1" t="s">
        <v>136</v>
      </c>
      <c r="H113" s="2" t="s">
        <v>65</v>
      </c>
      <c r="I113" s="5">
        <v>140.91999999999999</v>
      </c>
      <c r="J113" s="2">
        <v>5</v>
      </c>
      <c r="K113" s="4">
        <v>7.14</v>
      </c>
    </row>
    <row r="114" spans="1:11" x14ac:dyDescent="0.3">
      <c r="A114" s="3">
        <v>45746</v>
      </c>
      <c r="B114" s="10">
        <f>YEAR(Table1[[#This Row],[Order Date]])</f>
        <v>2025</v>
      </c>
      <c r="C114" s="10">
        <f>MONTH(Table1[[#This Row],[Order Date]])</f>
        <v>3</v>
      </c>
      <c r="D114" s="2" t="s">
        <v>47</v>
      </c>
      <c r="E114" s="2" t="s">
        <v>31</v>
      </c>
      <c r="F114" s="2" t="s">
        <v>10</v>
      </c>
      <c r="G114" s="1" t="s">
        <v>135</v>
      </c>
      <c r="H114" s="2" t="s">
        <v>49</v>
      </c>
      <c r="I114" s="5">
        <v>855.3</v>
      </c>
      <c r="J114" s="2">
        <v>2</v>
      </c>
      <c r="K114" s="4">
        <v>239</v>
      </c>
    </row>
    <row r="115" spans="1:11" x14ac:dyDescent="0.3">
      <c r="A115" s="3">
        <v>45747</v>
      </c>
      <c r="B115" s="10">
        <f>YEAR(Table1[[#This Row],[Order Date]])</f>
        <v>2025</v>
      </c>
      <c r="C115" s="10">
        <f>MONTH(Table1[[#This Row],[Order Date]])</f>
        <v>3</v>
      </c>
      <c r="D115" s="2" t="s">
        <v>94</v>
      </c>
      <c r="E115" s="2" t="s">
        <v>22</v>
      </c>
      <c r="F115" s="2" t="s">
        <v>10</v>
      </c>
      <c r="G115" s="1" t="s">
        <v>135</v>
      </c>
      <c r="H115" s="2" t="s">
        <v>23</v>
      </c>
      <c r="I115" s="5">
        <v>380.6</v>
      </c>
      <c r="J115" s="2">
        <v>3</v>
      </c>
      <c r="K115" s="4">
        <v>29.61</v>
      </c>
    </row>
    <row r="116" spans="1:11" x14ac:dyDescent="0.3">
      <c r="A116" s="3">
        <v>45747</v>
      </c>
      <c r="B116" s="10">
        <f>YEAR(Table1[[#This Row],[Order Date]])</f>
        <v>2025</v>
      </c>
      <c r="C116" s="10">
        <f>MONTH(Table1[[#This Row],[Order Date]])</f>
        <v>3</v>
      </c>
      <c r="D116" s="2" t="s">
        <v>115</v>
      </c>
      <c r="E116" s="2" t="s">
        <v>9</v>
      </c>
      <c r="F116" s="2" t="s">
        <v>10</v>
      </c>
      <c r="G116" s="1" t="s">
        <v>135</v>
      </c>
      <c r="H116" s="2" t="s">
        <v>23</v>
      </c>
      <c r="I116" s="5">
        <v>235.84</v>
      </c>
      <c r="J116" s="2">
        <v>4</v>
      </c>
      <c r="K116" s="4">
        <v>49.31</v>
      </c>
    </row>
    <row r="117" spans="1:11" x14ac:dyDescent="0.3">
      <c r="A117" s="3">
        <v>45751</v>
      </c>
      <c r="B117" s="10">
        <f>YEAR(Table1[[#This Row],[Order Date]])</f>
        <v>2025</v>
      </c>
      <c r="C117" s="10">
        <f>MONTH(Table1[[#This Row],[Order Date]])</f>
        <v>4</v>
      </c>
      <c r="D117" s="2" t="s">
        <v>99</v>
      </c>
      <c r="E117" s="2" t="s">
        <v>31</v>
      </c>
      <c r="F117" s="2" t="s">
        <v>10</v>
      </c>
      <c r="G117" s="1" t="s">
        <v>135</v>
      </c>
      <c r="H117" s="2" t="s">
        <v>23</v>
      </c>
      <c r="I117" s="5">
        <v>1494.54</v>
      </c>
      <c r="J117" s="2">
        <v>4</v>
      </c>
      <c r="K117" s="4">
        <v>218.72</v>
      </c>
    </row>
    <row r="118" spans="1:11" x14ac:dyDescent="0.3">
      <c r="A118" s="3">
        <v>45751</v>
      </c>
      <c r="B118" s="10">
        <f>YEAR(Table1[[#This Row],[Order Date]])</f>
        <v>2025</v>
      </c>
      <c r="C118" s="10">
        <f>MONTH(Table1[[#This Row],[Order Date]])</f>
        <v>4</v>
      </c>
      <c r="D118" s="2" t="s">
        <v>78</v>
      </c>
      <c r="E118" s="2" t="s">
        <v>39</v>
      </c>
      <c r="F118" s="2" t="s">
        <v>19</v>
      </c>
      <c r="G118" s="1" t="s">
        <v>136</v>
      </c>
      <c r="H118" s="2" t="s">
        <v>20</v>
      </c>
      <c r="I118" s="5">
        <v>701.26</v>
      </c>
      <c r="J118" s="2">
        <v>1</v>
      </c>
      <c r="K118" s="4">
        <v>201.09</v>
      </c>
    </row>
    <row r="119" spans="1:11" x14ac:dyDescent="0.3">
      <c r="A119" s="3">
        <v>45751</v>
      </c>
      <c r="B119" s="10">
        <f>YEAR(Table1[[#This Row],[Order Date]])</f>
        <v>2025</v>
      </c>
      <c r="C119" s="10">
        <f>MONTH(Table1[[#This Row],[Order Date]])</f>
        <v>4</v>
      </c>
      <c r="D119" s="2" t="s">
        <v>115</v>
      </c>
      <c r="E119" s="2" t="s">
        <v>31</v>
      </c>
      <c r="F119" s="2" t="s">
        <v>10</v>
      </c>
      <c r="G119" s="1" t="s">
        <v>135</v>
      </c>
      <c r="H119" s="2" t="s">
        <v>13</v>
      </c>
      <c r="I119" s="5">
        <v>255.59</v>
      </c>
      <c r="J119" s="2">
        <v>5</v>
      </c>
      <c r="K119" s="4">
        <v>53.12</v>
      </c>
    </row>
    <row r="120" spans="1:11" x14ac:dyDescent="0.3">
      <c r="A120" s="3">
        <v>45752</v>
      </c>
      <c r="B120" s="10">
        <f>YEAR(Table1[[#This Row],[Order Date]])</f>
        <v>2025</v>
      </c>
      <c r="C120" s="10">
        <f>MONTH(Table1[[#This Row],[Order Date]])</f>
        <v>4</v>
      </c>
      <c r="D120" s="2" t="s">
        <v>66</v>
      </c>
      <c r="E120" s="2" t="s">
        <v>15</v>
      </c>
      <c r="F120" s="2" t="s">
        <v>10</v>
      </c>
      <c r="G120" s="1" t="s">
        <v>135</v>
      </c>
      <c r="H120" s="2" t="s">
        <v>13</v>
      </c>
      <c r="I120" s="5">
        <v>327.52999999999997</v>
      </c>
      <c r="J120" s="2">
        <v>1</v>
      </c>
      <c r="K120" s="4">
        <v>69.739999999999995</v>
      </c>
    </row>
    <row r="121" spans="1:11" x14ac:dyDescent="0.3">
      <c r="A121" s="3">
        <v>45753</v>
      </c>
      <c r="B121" s="10">
        <f>YEAR(Table1[[#This Row],[Order Date]])</f>
        <v>2025</v>
      </c>
      <c r="C121" s="10">
        <f>MONTH(Table1[[#This Row],[Order Date]])</f>
        <v>4</v>
      </c>
      <c r="D121" s="2" t="s">
        <v>43</v>
      </c>
      <c r="E121" s="2" t="s">
        <v>31</v>
      </c>
      <c r="F121" s="2" t="s">
        <v>19</v>
      </c>
      <c r="G121" s="1" t="s">
        <v>136</v>
      </c>
      <c r="H121" s="2" t="s">
        <v>40</v>
      </c>
      <c r="I121" s="5">
        <v>174.84</v>
      </c>
      <c r="J121" s="2">
        <v>4</v>
      </c>
      <c r="K121" s="4">
        <v>28.72</v>
      </c>
    </row>
    <row r="122" spans="1:11" x14ac:dyDescent="0.3">
      <c r="A122" s="3">
        <v>45753</v>
      </c>
      <c r="B122" s="10">
        <f>YEAR(Table1[[#This Row],[Order Date]])</f>
        <v>2025</v>
      </c>
      <c r="C122" s="10">
        <f>MONTH(Table1[[#This Row],[Order Date]])</f>
        <v>4</v>
      </c>
      <c r="D122" s="2" t="s">
        <v>115</v>
      </c>
      <c r="E122" s="2" t="s">
        <v>39</v>
      </c>
      <c r="F122" s="2" t="s">
        <v>10</v>
      </c>
      <c r="G122" s="1" t="s">
        <v>135</v>
      </c>
      <c r="H122" s="2" t="s">
        <v>49</v>
      </c>
      <c r="I122" s="5">
        <v>997.31</v>
      </c>
      <c r="J122" s="2">
        <v>1</v>
      </c>
      <c r="K122" s="4">
        <v>147.37</v>
      </c>
    </row>
    <row r="123" spans="1:11" x14ac:dyDescent="0.3">
      <c r="A123" s="3">
        <v>45754</v>
      </c>
      <c r="B123" s="10">
        <f>YEAR(Table1[[#This Row],[Order Date]])</f>
        <v>2025</v>
      </c>
      <c r="C123" s="10">
        <f>MONTH(Table1[[#This Row],[Order Date]])</f>
        <v>4</v>
      </c>
      <c r="D123" s="2" t="s">
        <v>126</v>
      </c>
      <c r="E123" s="2" t="s">
        <v>9</v>
      </c>
      <c r="F123" s="2" t="s">
        <v>28</v>
      </c>
      <c r="G123" s="1" t="s">
        <v>137</v>
      </c>
      <c r="H123" s="2" t="s">
        <v>29</v>
      </c>
      <c r="I123" s="5">
        <v>1190.8599999999999</v>
      </c>
      <c r="J123" s="2">
        <v>3</v>
      </c>
      <c r="K123" s="4">
        <v>119.48</v>
      </c>
    </row>
    <row r="124" spans="1:11" x14ac:dyDescent="0.3">
      <c r="A124" s="3">
        <v>45754</v>
      </c>
      <c r="B124" s="10">
        <f>YEAR(Table1[[#This Row],[Order Date]])</f>
        <v>2025</v>
      </c>
      <c r="C124" s="10">
        <f>MONTH(Table1[[#This Row],[Order Date]])</f>
        <v>4</v>
      </c>
      <c r="D124" s="2" t="s">
        <v>90</v>
      </c>
      <c r="E124" s="2" t="s">
        <v>77</v>
      </c>
      <c r="F124" s="2" t="s">
        <v>28</v>
      </c>
      <c r="G124" s="1" t="s">
        <v>137</v>
      </c>
      <c r="H124" s="2" t="s">
        <v>58</v>
      </c>
      <c r="I124" s="5">
        <v>536.66</v>
      </c>
      <c r="J124" s="2">
        <v>4</v>
      </c>
      <c r="K124" s="4">
        <v>31.93</v>
      </c>
    </row>
    <row r="125" spans="1:11" x14ac:dyDescent="0.3">
      <c r="A125" s="3">
        <v>45755</v>
      </c>
      <c r="B125" s="10">
        <f>YEAR(Table1[[#This Row],[Order Date]])</f>
        <v>2025</v>
      </c>
      <c r="C125" s="10">
        <f>MONTH(Table1[[#This Row],[Order Date]])</f>
        <v>4</v>
      </c>
      <c r="D125" s="2" t="s">
        <v>89</v>
      </c>
      <c r="E125" s="2" t="s">
        <v>37</v>
      </c>
      <c r="F125" s="2" t="s">
        <v>10</v>
      </c>
      <c r="G125" s="1" t="s">
        <v>135</v>
      </c>
      <c r="H125" s="2" t="s">
        <v>16</v>
      </c>
      <c r="I125" s="5">
        <v>1138.02</v>
      </c>
      <c r="J125" s="2">
        <v>4</v>
      </c>
      <c r="K125" s="4">
        <v>278.77</v>
      </c>
    </row>
    <row r="126" spans="1:11" x14ac:dyDescent="0.3">
      <c r="A126" s="3">
        <v>45759</v>
      </c>
      <c r="B126" s="10">
        <f>YEAR(Table1[[#This Row],[Order Date]])</f>
        <v>2025</v>
      </c>
      <c r="C126" s="10">
        <f>MONTH(Table1[[#This Row],[Order Date]])</f>
        <v>4</v>
      </c>
      <c r="D126" s="2" t="s">
        <v>68</v>
      </c>
      <c r="E126" s="2" t="s">
        <v>25</v>
      </c>
      <c r="F126" s="2" t="s">
        <v>28</v>
      </c>
      <c r="G126" s="1" t="s">
        <v>137</v>
      </c>
      <c r="H126" s="2" t="s">
        <v>35</v>
      </c>
      <c r="I126" s="5">
        <v>95.76</v>
      </c>
      <c r="J126" s="2">
        <v>2</v>
      </c>
      <c r="K126" s="4">
        <v>15.36</v>
      </c>
    </row>
    <row r="127" spans="1:11" x14ac:dyDescent="0.3">
      <c r="A127" s="3">
        <v>45759</v>
      </c>
      <c r="B127" s="10">
        <f>YEAR(Table1[[#This Row],[Order Date]])</f>
        <v>2025</v>
      </c>
      <c r="C127" s="10">
        <f>MONTH(Table1[[#This Row],[Order Date]])</f>
        <v>4</v>
      </c>
      <c r="D127" s="2" t="s">
        <v>115</v>
      </c>
      <c r="E127" s="2" t="s">
        <v>34</v>
      </c>
      <c r="F127" s="2" t="s">
        <v>19</v>
      </c>
      <c r="G127" s="1" t="s">
        <v>136</v>
      </c>
      <c r="H127" s="2" t="s">
        <v>40</v>
      </c>
      <c r="I127" s="5">
        <v>1063.79</v>
      </c>
      <c r="J127" s="2">
        <v>2</v>
      </c>
      <c r="K127" s="4">
        <v>258.3</v>
      </c>
    </row>
    <row r="128" spans="1:11" x14ac:dyDescent="0.3">
      <c r="A128" s="3">
        <v>45759</v>
      </c>
      <c r="B128" s="10">
        <f>YEAR(Table1[[#This Row],[Order Date]])</f>
        <v>2025</v>
      </c>
      <c r="C128" s="10">
        <f>MONTH(Table1[[#This Row],[Order Date]])</f>
        <v>4</v>
      </c>
      <c r="D128" s="2" t="s">
        <v>93</v>
      </c>
      <c r="E128" s="2" t="s">
        <v>34</v>
      </c>
      <c r="F128" s="2" t="s">
        <v>19</v>
      </c>
      <c r="G128" s="1" t="s">
        <v>136</v>
      </c>
      <c r="H128" s="2" t="s">
        <v>45</v>
      </c>
      <c r="I128" s="5">
        <v>543.12</v>
      </c>
      <c r="J128" s="2">
        <v>2</v>
      </c>
      <c r="K128" s="4">
        <v>159.88</v>
      </c>
    </row>
    <row r="129" spans="1:11" x14ac:dyDescent="0.3">
      <c r="A129" s="3">
        <v>45761</v>
      </c>
      <c r="B129" s="10">
        <f>YEAR(Table1[[#This Row],[Order Date]])</f>
        <v>2025</v>
      </c>
      <c r="C129" s="10">
        <f>MONTH(Table1[[#This Row],[Order Date]])</f>
        <v>4</v>
      </c>
      <c r="D129" s="2" t="s">
        <v>94</v>
      </c>
      <c r="E129" s="2" t="s">
        <v>18</v>
      </c>
      <c r="F129" s="2" t="s">
        <v>19</v>
      </c>
      <c r="G129" s="1" t="s">
        <v>136</v>
      </c>
      <c r="H129" s="2" t="s">
        <v>65</v>
      </c>
      <c r="I129" s="5">
        <v>853.01</v>
      </c>
      <c r="J129" s="2">
        <v>3</v>
      </c>
      <c r="K129" s="4">
        <v>233.42</v>
      </c>
    </row>
    <row r="130" spans="1:11" x14ac:dyDescent="0.3">
      <c r="A130" s="3">
        <v>45763</v>
      </c>
      <c r="B130" s="10">
        <f>YEAR(Table1[[#This Row],[Order Date]])</f>
        <v>2025</v>
      </c>
      <c r="C130" s="10">
        <f>MONTH(Table1[[#This Row],[Order Date]])</f>
        <v>4</v>
      </c>
      <c r="D130" s="2" t="s">
        <v>27</v>
      </c>
      <c r="E130" s="2" t="s">
        <v>25</v>
      </c>
      <c r="F130" s="2" t="s">
        <v>28</v>
      </c>
      <c r="G130" s="1" t="s">
        <v>137</v>
      </c>
      <c r="H130" s="2" t="s">
        <v>29</v>
      </c>
      <c r="I130" s="5">
        <v>33.79</v>
      </c>
      <c r="J130" s="2">
        <v>2</v>
      </c>
      <c r="K130" s="4">
        <v>7.47</v>
      </c>
    </row>
    <row r="131" spans="1:11" x14ac:dyDescent="0.3">
      <c r="A131" s="3">
        <v>45763</v>
      </c>
      <c r="B131" s="10">
        <f>YEAR(Table1[[#This Row],[Order Date]])</f>
        <v>2025</v>
      </c>
      <c r="C131" s="10">
        <f>MONTH(Table1[[#This Row],[Order Date]])</f>
        <v>4</v>
      </c>
      <c r="D131" s="2" t="s">
        <v>99</v>
      </c>
      <c r="E131" s="2" t="s">
        <v>9</v>
      </c>
      <c r="F131" s="2" t="s">
        <v>19</v>
      </c>
      <c r="G131" s="1" t="s">
        <v>136</v>
      </c>
      <c r="H131" s="2" t="s">
        <v>65</v>
      </c>
      <c r="I131" s="5">
        <v>519.39</v>
      </c>
      <c r="J131" s="2">
        <v>4</v>
      </c>
      <c r="K131" s="4">
        <v>49.28</v>
      </c>
    </row>
    <row r="132" spans="1:11" x14ac:dyDescent="0.3">
      <c r="A132" s="3">
        <v>45764</v>
      </c>
      <c r="B132" s="10">
        <f>YEAR(Table1[[#This Row],[Order Date]])</f>
        <v>2025</v>
      </c>
      <c r="C132" s="10">
        <f>MONTH(Table1[[#This Row],[Order Date]])</f>
        <v>4</v>
      </c>
      <c r="D132" s="2" t="s">
        <v>109</v>
      </c>
      <c r="E132" s="2" t="s">
        <v>39</v>
      </c>
      <c r="F132" s="2" t="s">
        <v>19</v>
      </c>
      <c r="G132" s="1" t="s">
        <v>136</v>
      </c>
      <c r="H132" s="2" t="s">
        <v>40</v>
      </c>
      <c r="I132" s="5">
        <v>361.18</v>
      </c>
      <c r="J132" s="2">
        <v>2</v>
      </c>
      <c r="K132" s="4">
        <v>100.03</v>
      </c>
    </row>
    <row r="133" spans="1:11" x14ac:dyDescent="0.3">
      <c r="A133" s="3">
        <v>45766</v>
      </c>
      <c r="B133" s="10">
        <f>YEAR(Table1[[#This Row],[Order Date]])</f>
        <v>2025</v>
      </c>
      <c r="C133" s="10">
        <f>MONTH(Table1[[#This Row],[Order Date]])</f>
        <v>4</v>
      </c>
      <c r="D133" s="2" t="s">
        <v>54</v>
      </c>
      <c r="E133" s="2" t="s">
        <v>37</v>
      </c>
      <c r="F133" s="2" t="s">
        <v>28</v>
      </c>
      <c r="G133" s="1" t="s">
        <v>137</v>
      </c>
      <c r="H133" s="2" t="s">
        <v>29</v>
      </c>
      <c r="I133" s="5">
        <v>1010.83</v>
      </c>
      <c r="J133" s="2">
        <v>2</v>
      </c>
      <c r="K133" s="4">
        <v>141.05000000000001</v>
      </c>
    </row>
    <row r="134" spans="1:11" x14ac:dyDescent="0.3">
      <c r="A134" s="3">
        <v>45766</v>
      </c>
      <c r="B134" s="10">
        <f>YEAR(Table1[[#This Row],[Order Date]])</f>
        <v>2025</v>
      </c>
      <c r="C134" s="10">
        <f>MONTH(Table1[[#This Row],[Order Date]])</f>
        <v>4</v>
      </c>
      <c r="D134" s="2" t="s">
        <v>59</v>
      </c>
      <c r="E134" s="2" t="s">
        <v>15</v>
      </c>
      <c r="F134" s="2" t="s">
        <v>10</v>
      </c>
      <c r="G134" s="1" t="s">
        <v>135</v>
      </c>
      <c r="H134" s="2" t="s">
        <v>11</v>
      </c>
      <c r="I134" s="5">
        <v>1229.92</v>
      </c>
      <c r="J134" s="2">
        <v>5</v>
      </c>
      <c r="K134" s="4">
        <v>68.540000000000006</v>
      </c>
    </row>
    <row r="135" spans="1:11" x14ac:dyDescent="0.3">
      <c r="A135" s="3">
        <v>45767</v>
      </c>
      <c r="B135" s="10">
        <f>YEAR(Table1[[#This Row],[Order Date]])</f>
        <v>2025</v>
      </c>
      <c r="C135" s="10">
        <f>MONTH(Table1[[#This Row],[Order Date]])</f>
        <v>4</v>
      </c>
      <c r="D135" s="2" t="s">
        <v>14</v>
      </c>
      <c r="E135" s="2" t="s">
        <v>39</v>
      </c>
      <c r="F135" s="2" t="s">
        <v>19</v>
      </c>
      <c r="G135" s="1" t="s">
        <v>136</v>
      </c>
      <c r="H135" s="2" t="s">
        <v>32</v>
      </c>
      <c r="I135" s="5">
        <v>1459.44</v>
      </c>
      <c r="J135" s="2">
        <v>3</v>
      </c>
      <c r="K135" s="4">
        <v>348.06</v>
      </c>
    </row>
    <row r="136" spans="1:11" x14ac:dyDescent="0.3">
      <c r="A136" s="3">
        <v>45768</v>
      </c>
      <c r="B136" s="10">
        <f>YEAR(Table1[[#This Row],[Order Date]])</f>
        <v>2025</v>
      </c>
      <c r="C136" s="10">
        <f>MONTH(Table1[[#This Row],[Order Date]])</f>
        <v>4</v>
      </c>
      <c r="D136" s="2" t="s">
        <v>48</v>
      </c>
      <c r="E136" s="2" t="s">
        <v>31</v>
      </c>
      <c r="F136" s="2" t="s">
        <v>19</v>
      </c>
      <c r="G136" s="1" t="s">
        <v>136</v>
      </c>
      <c r="H136" s="2" t="s">
        <v>20</v>
      </c>
      <c r="I136" s="5">
        <v>464.08</v>
      </c>
      <c r="J136" s="2">
        <v>1</v>
      </c>
      <c r="K136" s="4">
        <v>55.87</v>
      </c>
    </row>
    <row r="137" spans="1:11" x14ac:dyDescent="0.3">
      <c r="A137" s="3">
        <v>45769</v>
      </c>
      <c r="B137" s="10">
        <f>YEAR(Table1[[#This Row],[Order Date]])</f>
        <v>2025</v>
      </c>
      <c r="C137" s="10">
        <f>MONTH(Table1[[#This Row],[Order Date]])</f>
        <v>4</v>
      </c>
      <c r="D137" s="2" t="s">
        <v>51</v>
      </c>
      <c r="E137" s="2" t="s">
        <v>77</v>
      </c>
      <c r="F137" s="2" t="s">
        <v>19</v>
      </c>
      <c r="G137" s="1" t="s">
        <v>136</v>
      </c>
      <c r="H137" s="2" t="s">
        <v>45</v>
      </c>
      <c r="I137" s="5">
        <v>181.11</v>
      </c>
      <c r="J137" s="2">
        <v>2</v>
      </c>
      <c r="K137" s="4">
        <v>43.82</v>
      </c>
    </row>
    <row r="138" spans="1:11" x14ac:dyDescent="0.3">
      <c r="A138" s="3">
        <v>45770</v>
      </c>
      <c r="B138" s="10">
        <f>YEAR(Table1[[#This Row],[Order Date]])</f>
        <v>2025</v>
      </c>
      <c r="C138" s="10">
        <f>MONTH(Table1[[#This Row],[Order Date]])</f>
        <v>4</v>
      </c>
      <c r="D138" s="2" t="s">
        <v>62</v>
      </c>
      <c r="E138" s="2" t="s">
        <v>31</v>
      </c>
      <c r="F138" s="2" t="s">
        <v>19</v>
      </c>
      <c r="G138" s="1" t="s">
        <v>136</v>
      </c>
      <c r="H138" s="2" t="s">
        <v>45</v>
      </c>
      <c r="I138" s="5">
        <v>767.22</v>
      </c>
      <c r="J138" s="2">
        <v>5</v>
      </c>
      <c r="K138" s="4">
        <v>203</v>
      </c>
    </row>
    <row r="139" spans="1:11" x14ac:dyDescent="0.3">
      <c r="A139" s="3">
        <v>45770</v>
      </c>
      <c r="B139" s="10">
        <f>YEAR(Table1[[#This Row],[Order Date]])</f>
        <v>2025</v>
      </c>
      <c r="C139" s="10">
        <f>MONTH(Table1[[#This Row],[Order Date]])</f>
        <v>4</v>
      </c>
      <c r="D139" s="2" t="s">
        <v>63</v>
      </c>
      <c r="E139" s="2" t="s">
        <v>25</v>
      </c>
      <c r="F139" s="2" t="s">
        <v>10</v>
      </c>
      <c r="G139" s="1" t="s">
        <v>135</v>
      </c>
      <c r="H139" s="2" t="s">
        <v>13</v>
      </c>
      <c r="I139" s="5">
        <v>773.02</v>
      </c>
      <c r="J139" s="2">
        <v>3</v>
      </c>
      <c r="K139" s="4">
        <v>106.03</v>
      </c>
    </row>
    <row r="140" spans="1:11" x14ac:dyDescent="0.3">
      <c r="A140" s="3">
        <v>45770</v>
      </c>
      <c r="B140" s="10">
        <f>YEAR(Table1[[#This Row],[Order Date]])</f>
        <v>2025</v>
      </c>
      <c r="C140" s="10">
        <f>MONTH(Table1[[#This Row],[Order Date]])</f>
        <v>4</v>
      </c>
      <c r="D140" s="2" t="s">
        <v>84</v>
      </c>
      <c r="E140" s="2" t="s">
        <v>25</v>
      </c>
      <c r="F140" s="2" t="s">
        <v>19</v>
      </c>
      <c r="G140" s="1" t="s">
        <v>136</v>
      </c>
      <c r="H140" s="2" t="s">
        <v>40</v>
      </c>
      <c r="I140" s="5">
        <v>1109.47</v>
      </c>
      <c r="J140" s="2">
        <v>5</v>
      </c>
      <c r="K140" s="4">
        <v>225.14</v>
      </c>
    </row>
    <row r="141" spans="1:11" x14ac:dyDescent="0.3">
      <c r="A141" s="3">
        <v>45770</v>
      </c>
      <c r="B141" s="10">
        <f>YEAR(Table1[[#This Row],[Order Date]])</f>
        <v>2025</v>
      </c>
      <c r="C141" s="10">
        <f>MONTH(Table1[[#This Row],[Order Date]])</f>
        <v>4</v>
      </c>
      <c r="D141" s="2" t="s">
        <v>109</v>
      </c>
      <c r="E141" s="2" t="s">
        <v>31</v>
      </c>
      <c r="F141" s="2" t="s">
        <v>28</v>
      </c>
      <c r="G141" s="1" t="s">
        <v>137</v>
      </c>
      <c r="H141" s="2" t="s">
        <v>73</v>
      </c>
      <c r="I141" s="5">
        <v>96.19</v>
      </c>
      <c r="J141" s="2">
        <v>1</v>
      </c>
      <c r="K141" s="4">
        <v>17.27</v>
      </c>
    </row>
    <row r="142" spans="1:11" x14ac:dyDescent="0.3">
      <c r="A142" s="3">
        <v>45771</v>
      </c>
      <c r="B142" s="10">
        <f>YEAR(Table1[[#This Row],[Order Date]])</f>
        <v>2025</v>
      </c>
      <c r="C142" s="10">
        <f>MONTH(Table1[[#This Row],[Order Date]])</f>
        <v>4</v>
      </c>
      <c r="D142" s="2" t="s">
        <v>66</v>
      </c>
      <c r="E142" s="2" t="s">
        <v>37</v>
      </c>
      <c r="F142" s="2" t="s">
        <v>28</v>
      </c>
      <c r="G142" s="1" t="s">
        <v>137</v>
      </c>
      <c r="H142" s="2" t="s">
        <v>58</v>
      </c>
      <c r="I142" s="5">
        <v>1049.49</v>
      </c>
      <c r="J142" s="2">
        <v>5</v>
      </c>
      <c r="K142" s="4">
        <v>91.06</v>
      </c>
    </row>
    <row r="143" spans="1:11" x14ac:dyDescent="0.3">
      <c r="A143" s="3">
        <v>45772</v>
      </c>
      <c r="B143" s="10">
        <f>YEAR(Table1[[#This Row],[Order Date]])</f>
        <v>2025</v>
      </c>
      <c r="C143" s="10">
        <f>MONTH(Table1[[#This Row],[Order Date]])</f>
        <v>4</v>
      </c>
      <c r="D143" s="2" t="s">
        <v>104</v>
      </c>
      <c r="E143" s="2" t="s">
        <v>15</v>
      </c>
      <c r="F143" s="2" t="s">
        <v>28</v>
      </c>
      <c r="G143" s="1" t="s">
        <v>137</v>
      </c>
      <c r="H143" s="2" t="s">
        <v>58</v>
      </c>
      <c r="I143" s="5">
        <v>892.6</v>
      </c>
      <c r="J143" s="2">
        <v>5</v>
      </c>
      <c r="K143" s="4">
        <v>91.64</v>
      </c>
    </row>
    <row r="144" spans="1:11" x14ac:dyDescent="0.3">
      <c r="A144" s="3">
        <v>45773</v>
      </c>
      <c r="B144" s="10">
        <f>YEAR(Table1[[#This Row],[Order Date]])</f>
        <v>2025</v>
      </c>
      <c r="C144" s="10">
        <f>MONTH(Table1[[#This Row],[Order Date]])</f>
        <v>4</v>
      </c>
      <c r="D144" s="2" t="s">
        <v>24</v>
      </c>
      <c r="E144" s="2" t="s">
        <v>25</v>
      </c>
      <c r="F144" s="2" t="s">
        <v>10</v>
      </c>
      <c r="G144" s="1" t="s">
        <v>135</v>
      </c>
      <c r="H144" s="2" t="s">
        <v>11</v>
      </c>
      <c r="I144" s="5">
        <v>892.7</v>
      </c>
      <c r="J144" s="2">
        <v>3</v>
      </c>
      <c r="K144" s="4">
        <v>236.55</v>
      </c>
    </row>
    <row r="145" spans="1:11" x14ac:dyDescent="0.3">
      <c r="A145" s="3">
        <v>45773</v>
      </c>
      <c r="B145" s="10">
        <f>YEAR(Table1[[#This Row],[Order Date]])</f>
        <v>2025</v>
      </c>
      <c r="C145" s="10">
        <f>MONTH(Table1[[#This Row],[Order Date]])</f>
        <v>4</v>
      </c>
      <c r="D145" s="2" t="s">
        <v>79</v>
      </c>
      <c r="E145" s="2" t="s">
        <v>34</v>
      </c>
      <c r="F145" s="2" t="s">
        <v>19</v>
      </c>
      <c r="G145" s="1" t="s">
        <v>136</v>
      </c>
      <c r="H145" s="2" t="s">
        <v>32</v>
      </c>
      <c r="I145" s="5">
        <v>1352.73</v>
      </c>
      <c r="J145" s="2">
        <v>1</v>
      </c>
      <c r="K145" s="4">
        <v>377.16</v>
      </c>
    </row>
    <row r="146" spans="1:11" x14ac:dyDescent="0.3">
      <c r="A146" s="3">
        <v>45773</v>
      </c>
      <c r="B146" s="10">
        <f>YEAR(Table1[[#This Row],[Order Date]])</f>
        <v>2025</v>
      </c>
      <c r="C146" s="10">
        <f>MONTH(Table1[[#This Row],[Order Date]])</f>
        <v>4</v>
      </c>
      <c r="D146" s="2" t="s">
        <v>104</v>
      </c>
      <c r="E146" s="2" t="s">
        <v>77</v>
      </c>
      <c r="F146" s="2" t="s">
        <v>19</v>
      </c>
      <c r="G146" s="1" t="s">
        <v>136</v>
      </c>
      <c r="H146" s="2" t="s">
        <v>32</v>
      </c>
      <c r="I146" s="5">
        <v>365.65</v>
      </c>
      <c r="J146" s="2">
        <v>5</v>
      </c>
      <c r="K146" s="4">
        <v>80.459999999999994</v>
      </c>
    </row>
    <row r="147" spans="1:11" x14ac:dyDescent="0.3">
      <c r="A147" s="3">
        <v>45774</v>
      </c>
      <c r="B147" s="10">
        <f>YEAR(Table1[[#This Row],[Order Date]])</f>
        <v>2025</v>
      </c>
      <c r="C147" s="10">
        <f>MONTH(Table1[[#This Row],[Order Date]])</f>
        <v>4</v>
      </c>
      <c r="D147" s="2" t="s">
        <v>30</v>
      </c>
      <c r="E147" s="2" t="s">
        <v>31</v>
      </c>
      <c r="F147" s="2" t="s">
        <v>19</v>
      </c>
      <c r="G147" s="1" t="s">
        <v>136</v>
      </c>
      <c r="H147" s="2" t="s">
        <v>32</v>
      </c>
      <c r="I147" s="5">
        <v>1364.89</v>
      </c>
      <c r="J147" s="2">
        <v>4</v>
      </c>
      <c r="K147" s="4">
        <v>130.43</v>
      </c>
    </row>
    <row r="148" spans="1:11" x14ac:dyDescent="0.3">
      <c r="A148" s="3">
        <v>45774</v>
      </c>
      <c r="B148" s="10">
        <f>YEAR(Table1[[#This Row],[Order Date]])</f>
        <v>2025</v>
      </c>
      <c r="C148" s="10">
        <f>MONTH(Table1[[#This Row],[Order Date]])</f>
        <v>4</v>
      </c>
      <c r="D148" s="2" t="s">
        <v>60</v>
      </c>
      <c r="E148" s="2" t="s">
        <v>25</v>
      </c>
      <c r="F148" s="2" t="s">
        <v>10</v>
      </c>
      <c r="G148" s="1" t="s">
        <v>135</v>
      </c>
      <c r="H148" s="2" t="s">
        <v>13</v>
      </c>
      <c r="I148" s="5">
        <v>801.09</v>
      </c>
      <c r="J148" s="2">
        <v>2</v>
      </c>
      <c r="K148" s="4">
        <v>237.45</v>
      </c>
    </row>
    <row r="149" spans="1:11" x14ac:dyDescent="0.3">
      <c r="A149" s="3">
        <v>45774</v>
      </c>
      <c r="B149" s="10">
        <f>YEAR(Table1[[#This Row],[Order Date]])</f>
        <v>2025</v>
      </c>
      <c r="C149" s="10">
        <f>MONTH(Table1[[#This Row],[Order Date]])</f>
        <v>4</v>
      </c>
      <c r="D149" s="2" t="s">
        <v>21</v>
      </c>
      <c r="E149" s="2" t="s">
        <v>9</v>
      </c>
      <c r="F149" s="2" t="s">
        <v>28</v>
      </c>
      <c r="G149" s="1" t="s">
        <v>137</v>
      </c>
      <c r="H149" s="2" t="s">
        <v>58</v>
      </c>
      <c r="I149" s="5">
        <v>968.5</v>
      </c>
      <c r="J149" s="2">
        <v>1</v>
      </c>
      <c r="K149" s="4">
        <v>244.84</v>
      </c>
    </row>
    <row r="150" spans="1:11" x14ac:dyDescent="0.3">
      <c r="A150" s="3">
        <v>45774</v>
      </c>
      <c r="B150" s="10">
        <f>YEAR(Table1[[#This Row],[Order Date]])</f>
        <v>2025</v>
      </c>
      <c r="C150" s="10">
        <f>MONTH(Table1[[#This Row],[Order Date]])</f>
        <v>4</v>
      </c>
      <c r="D150" s="2" t="s">
        <v>85</v>
      </c>
      <c r="E150" s="2" t="s">
        <v>18</v>
      </c>
      <c r="F150" s="2" t="s">
        <v>10</v>
      </c>
      <c r="G150" s="1" t="s">
        <v>135</v>
      </c>
      <c r="H150" s="2" t="s">
        <v>23</v>
      </c>
      <c r="I150" s="5">
        <v>1496.92</v>
      </c>
      <c r="J150" s="2">
        <v>4</v>
      </c>
      <c r="K150" s="4">
        <v>94.56</v>
      </c>
    </row>
    <row r="151" spans="1:11" x14ac:dyDescent="0.3">
      <c r="A151" s="3">
        <v>45774</v>
      </c>
      <c r="B151" s="10">
        <f>YEAR(Table1[[#This Row],[Order Date]])</f>
        <v>2025</v>
      </c>
      <c r="C151" s="10">
        <f>MONTH(Table1[[#This Row],[Order Date]])</f>
        <v>4</v>
      </c>
      <c r="D151" s="2" t="s">
        <v>88</v>
      </c>
      <c r="E151" s="2" t="s">
        <v>77</v>
      </c>
      <c r="F151" s="2" t="s">
        <v>10</v>
      </c>
      <c r="G151" s="1" t="s">
        <v>135</v>
      </c>
      <c r="H151" s="2" t="s">
        <v>23</v>
      </c>
      <c r="I151" s="5">
        <v>420.66</v>
      </c>
      <c r="J151" s="2">
        <v>2</v>
      </c>
      <c r="K151" s="4">
        <v>49.63</v>
      </c>
    </row>
    <row r="152" spans="1:11" x14ac:dyDescent="0.3">
      <c r="A152" s="3">
        <v>45777</v>
      </c>
      <c r="B152" s="10">
        <f>YEAR(Table1[[#This Row],[Order Date]])</f>
        <v>2025</v>
      </c>
      <c r="C152" s="10">
        <f>MONTH(Table1[[#This Row],[Order Date]])</f>
        <v>4</v>
      </c>
      <c r="D152" s="2" t="s">
        <v>78</v>
      </c>
      <c r="E152" s="2" t="s">
        <v>15</v>
      </c>
      <c r="F152" s="2" t="s">
        <v>19</v>
      </c>
      <c r="G152" s="1" t="s">
        <v>136</v>
      </c>
      <c r="H152" s="2" t="s">
        <v>40</v>
      </c>
      <c r="I152" s="5">
        <v>49.53</v>
      </c>
      <c r="J152" s="2">
        <v>5</v>
      </c>
      <c r="K152" s="4">
        <v>13.33</v>
      </c>
    </row>
    <row r="153" spans="1:11" x14ac:dyDescent="0.3">
      <c r="A153" s="3">
        <v>45777</v>
      </c>
      <c r="B153" s="10">
        <f>YEAR(Table1[[#This Row],[Order Date]])</f>
        <v>2025</v>
      </c>
      <c r="C153" s="10">
        <f>MONTH(Table1[[#This Row],[Order Date]])</f>
        <v>4</v>
      </c>
      <c r="D153" s="2" t="s">
        <v>27</v>
      </c>
      <c r="E153" s="2" t="s">
        <v>9</v>
      </c>
      <c r="F153" s="2" t="s">
        <v>19</v>
      </c>
      <c r="G153" s="1" t="s">
        <v>136</v>
      </c>
      <c r="H153" s="2" t="s">
        <v>45</v>
      </c>
      <c r="I153" s="5">
        <v>1018</v>
      </c>
      <c r="J153" s="2">
        <v>3</v>
      </c>
      <c r="K153" s="4">
        <v>290.35000000000002</v>
      </c>
    </row>
    <row r="154" spans="1:11" x14ac:dyDescent="0.3">
      <c r="A154" s="3">
        <v>45777</v>
      </c>
      <c r="B154" s="10">
        <f>YEAR(Table1[[#This Row],[Order Date]])</f>
        <v>2025</v>
      </c>
      <c r="C154" s="10">
        <f>MONTH(Table1[[#This Row],[Order Date]])</f>
        <v>4</v>
      </c>
      <c r="D154" s="2" t="s">
        <v>83</v>
      </c>
      <c r="E154" s="2" t="s">
        <v>31</v>
      </c>
      <c r="F154" s="2" t="s">
        <v>28</v>
      </c>
      <c r="G154" s="1" t="s">
        <v>137</v>
      </c>
      <c r="H154" s="2" t="s">
        <v>69</v>
      </c>
      <c r="I154" s="5">
        <v>1079.28</v>
      </c>
      <c r="J154" s="2">
        <v>2</v>
      </c>
      <c r="K154" s="4">
        <v>127.52</v>
      </c>
    </row>
    <row r="155" spans="1:11" x14ac:dyDescent="0.3">
      <c r="A155" s="3">
        <v>45779</v>
      </c>
      <c r="B155" s="10">
        <f>YEAR(Table1[[#This Row],[Order Date]])</f>
        <v>2025</v>
      </c>
      <c r="C155" s="10">
        <f>MONTH(Table1[[#This Row],[Order Date]])</f>
        <v>5</v>
      </c>
      <c r="D155" s="2" t="s">
        <v>61</v>
      </c>
      <c r="E155" s="2" t="s">
        <v>37</v>
      </c>
      <c r="F155" s="2" t="s">
        <v>10</v>
      </c>
      <c r="G155" s="1" t="s">
        <v>135</v>
      </c>
      <c r="H155" s="2" t="s">
        <v>23</v>
      </c>
      <c r="I155" s="5">
        <v>560.79</v>
      </c>
      <c r="J155" s="2">
        <v>1</v>
      </c>
      <c r="K155" s="4">
        <v>130.13</v>
      </c>
    </row>
    <row r="156" spans="1:11" x14ac:dyDescent="0.3">
      <c r="A156" s="3">
        <v>45779</v>
      </c>
      <c r="B156" s="10">
        <f>YEAR(Table1[[#This Row],[Order Date]])</f>
        <v>2025</v>
      </c>
      <c r="C156" s="10">
        <f>MONTH(Table1[[#This Row],[Order Date]])</f>
        <v>5</v>
      </c>
      <c r="D156" s="2" t="s">
        <v>62</v>
      </c>
      <c r="E156" s="2" t="s">
        <v>77</v>
      </c>
      <c r="F156" s="2" t="s">
        <v>19</v>
      </c>
      <c r="G156" s="1" t="s">
        <v>136</v>
      </c>
      <c r="H156" s="2" t="s">
        <v>45</v>
      </c>
      <c r="I156" s="5">
        <v>29.97</v>
      </c>
      <c r="J156" s="2">
        <v>4</v>
      </c>
      <c r="K156" s="4">
        <v>1.83</v>
      </c>
    </row>
    <row r="157" spans="1:11" x14ac:dyDescent="0.3">
      <c r="A157" s="3">
        <v>45780</v>
      </c>
      <c r="B157" s="10">
        <f>YEAR(Table1[[#This Row],[Order Date]])</f>
        <v>2025</v>
      </c>
      <c r="C157" s="10">
        <f>MONTH(Table1[[#This Row],[Order Date]])</f>
        <v>5</v>
      </c>
      <c r="D157" s="2" t="s">
        <v>93</v>
      </c>
      <c r="E157" s="2" t="s">
        <v>31</v>
      </c>
      <c r="F157" s="2" t="s">
        <v>19</v>
      </c>
      <c r="G157" s="1" t="s">
        <v>136</v>
      </c>
      <c r="H157" s="2" t="s">
        <v>45</v>
      </c>
      <c r="I157" s="5">
        <v>946.86</v>
      </c>
      <c r="J157" s="2">
        <v>4</v>
      </c>
      <c r="K157" s="4">
        <v>135.16999999999999</v>
      </c>
    </row>
    <row r="158" spans="1:11" x14ac:dyDescent="0.3">
      <c r="A158" s="3">
        <v>45780</v>
      </c>
      <c r="B158" s="10">
        <f>YEAR(Table1[[#This Row],[Order Date]])</f>
        <v>2025</v>
      </c>
      <c r="C158" s="10">
        <f>MONTH(Table1[[#This Row],[Order Date]])</f>
        <v>5</v>
      </c>
      <c r="D158" s="2" t="s">
        <v>126</v>
      </c>
      <c r="E158" s="2" t="s">
        <v>25</v>
      </c>
      <c r="F158" s="2" t="s">
        <v>28</v>
      </c>
      <c r="G158" s="1" t="s">
        <v>137</v>
      </c>
      <c r="H158" s="2" t="s">
        <v>73</v>
      </c>
      <c r="I158" s="5">
        <v>376.64</v>
      </c>
      <c r="J158" s="2">
        <v>4</v>
      </c>
      <c r="K158" s="4">
        <v>76.069999999999993</v>
      </c>
    </row>
    <row r="159" spans="1:11" x14ac:dyDescent="0.3">
      <c r="A159" s="3">
        <v>45780</v>
      </c>
      <c r="B159" s="10">
        <f>YEAR(Table1[[#This Row],[Order Date]])</f>
        <v>2025</v>
      </c>
      <c r="C159" s="10">
        <f>MONTH(Table1[[#This Row],[Order Date]])</f>
        <v>5</v>
      </c>
      <c r="D159" s="2" t="s">
        <v>104</v>
      </c>
      <c r="E159" s="2" t="s">
        <v>34</v>
      </c>
      <c r="F159" s="2" t="s">
        <v>19</v>
      </c>
      <c r="G159" s="1" t="s">
        <v>136</v>
      </c>
      <c r="H159" s="2" t="s">
        <v>45</v>
      </c>
      <c r="I159" s="5">
        <v>770.06</v>
      </c>
      <c r="J159" s="2">
        <v>3</v>
      </c>
      <c r="K159" s="4">
        <v>50.99</v>
      </c>
    </row>
    <row r="160" spans="1:11" x14ac:dyDescent="0.3">
      <c r="A160" s="3">
        <v>45781</v>
      </c>
      <c r="B160" s="10">
        <f>YEAR(Table1[[#This Row],[Order Date]])</f>
        <v>2025</v>
      </c>
      <c r="C160" s="10">
        <f>MONTH(Table1[[#This Row],[Order Date]])</f>
        <v>5</v>
      </c>
      <c r="D160" s="2" t="s">
        <v>53</v>
      </c>
      <c r="E160" s="2" t="s">
        <v>18</v>
      </c>
      <c r="F160" s="2" t="s">
        <v>28</v>
      </c>
      <c r="G160" s="1" t="s">
        <v>137</v>
      </c>
      <c r="H160" s="2" t="s">
        <v>73</v>
      </c>
      <c r="I160" s="5">
        <v>815.64</v>
      </c>
      <c r="J160" s="2">
        <v>1</v>
      </c>
      <c r="K160" s="4">
        <v>90.11</v>
      </c>
    </row>
    <row r="161" spans="1:11" x14ac:dyDescent="0.3">
      <c r="A161" s="3">
        <v>45782</v>
      </c>
      <c r="B161" s="10">
        <f>YEAR(Table1[[#This Row],[Order Date]])</f>
        <v>2025</v>
      </c>
      <c r="C161" s="10">
        <f>MONTH(Table1[[#This Row],[Order Date]])</f>
        <v>5</v>
      </c>
      <c r="D161" s="2" t="s">
        <v>118</v>
      </c>
      <c r="E161" s="2" t="s">
        <v>77</v>
      </c>
      <c r="F161" s="2" t="s">
        <v>10</v>
      </c>
      <c r="G161" s="1" t="s">
        <v>135</v>
      </c>
      <c r="H161" s="2" t="s">
        <v>13</v>
      </c>
      <c r="I161" s="5">
        <v>1201.1300000000001</v>
      </c>
      <c r="J161" s="2">
        <v>4</v>
      </c>
      <c r="K161" s="4">
        <v>350.64</v>
      </c>
    </row>
    <row r="162" spans="1:11" x14ac:dyDescent="0.3">
      <c r="A162" s="3">
        <v>45782</v>
      </c>
      <c r="B162" s="10">
        <f>YEAR(Table1[[#This Row],[Order Date]])</f>
        <v>2025</v>
      </c>
      <c r="C162" s="10">
        <f>MONTH(Table1[[#This Row],[Order Date]])</f>
        <v>5</v>
      </c>
      <c r="D162" s="2" t="s">
        <v>117</v>
      </c>
      <c r="E162" s="2" t="s">
        <v>15</v>
      </c>
      <c r="F162" s="2" t="s">
        <v>28</v>
      </c>
      <c r="G162" s="1" t="s">
        <v>137</v>
      </c>
      <c r="H162" s="2" t="s">
        <v>69</v>
      </c>
      <c r="I162" s="5">
        <v>90.25</v>
      </c>
      <c r="J162" s="2">
        <v>3</v>
      </c>
      <c r="K162" s="4">
        <v>10.59</v>
      </c>
    </row>
    <row r="163" spans="1:11" x14ac:dyDescent="0.3">
      <c r="A163" s="3">
        <v>45783</v>
      </c>
      <c r="B163" s="10">
        <f>YEAR(Table1[[#This Row],[Order Date]])</f>
        <v>2025</v>
      </c>
      <c r="C163" s="10">
        <f>MONTH(Table1[[#This Row],[Order Date]])</f>
        <v>5</v>
      </c>
      <c r="D163" s="2" t="s">
        <v>67</v>
      </c>
      <c r="E163" s="2" t="s">
        <v>18</v>
      </c>
      <c r="F163" s="2" t="s">
        <v>19</v>
      </c>
      <c r="G163" s="1" t="s">
        <v>136</v>
      </c>
      <c r="H163" s="2" t="s">
        <v>45</v>
      </c>
      <c r="I163" s="5">
        <v>549.73</v>
      </c>
      <c r="J163" s="2">
        <v>2</v>
      </c>
      <c r="K163" s="4">
        <v>50.2</v>
      </c>
    </row>
    <row r="164" spans="1:11" x14ac:dyDescent="0.3">
      <c r="A164" s="3">
        <v>45784</v>
      </c>
      <c r="B164" s="10">
        <f>YEAR(Table1[[#This Row],[Order Date]])</f>
        <v>2025</v>
      </c>
      <c r="C164" s="10">
        <f>MONTH(Table1[[#This Row],[Order Date]])</f>
        <v>5</v>
      </c>
      <c r="D164" s="2" t="s">
        <v>82</v>
      </c>
      <c r="E164" s="2" t="s">
        <v>9</v>
      </c>
      <c r="F164" s="2" t="s">
        <v>10</v>
      </c>
      <c r="G164" s="1" t="s">
        <v>135</v>
      </c>
      <c r="H164" s="2" t="s">
        <v>11</v>
      </c>
      <c r="I164" s="5">
        <v>496.71</v>
      </c>
      <c r="J164" s="2">
        <v>5</v>
      </c>
      <c r="K164" s="4">
        <v>58.56</v>
      </c>
    </row>
    <row r="165" spans="1:11" x14ac:dyDescent="0.3">
      <c r="A165" s="3">
        <v>45784</v>
      </c>
      <c r="B165" s="10">
        <f>YEAR(Table1[[#This Row],[Order Date]])</f>
        <v>2025</v>
      </c>
      <c r="C165" s="10">
        <f>MONTH(Table1[[#This Row],[Order Date]])</f>
        <v>5</v>
      </c>
      <c r="D165" s="2" t="s">
        <v>57</v>
      </c>
      <c r="E165" s="2" t="s">
        <v>18</v>
      </c>
      <c r="F165" s="2" t="s">
        <v>28</v>
      </c>
      <c r="G165" s="1" t="s">
        <v>137</v>
      </c>
      <c r="H165" s="2" t="s">
        <v>58</v>
      </c>
      <c r="I165" s="5">
        <v>528.24</v>
      </c>
      <c r="J165" s="2">
        <v>2</v>
      </c>
      <c r="K165" s="4">
        <v>98.22</v>
      </c>
    </row>
    <row r="166" spans="1:11" x14ac:dyDescent="0.3">
      <c r="A166" s="3">
        <v>45784</v>
      </c>
      <c r="B166" s="10">
        <f>YEAR(Table1[[#This Row],[Order Date]])</f>
        <v>2025</v>
      </c>
      <c r="C166" s="10">
        <f>MONTH(Table1[[#This Row],[Order Date]])</f>
        <v>5</v>
      </c>
      <c r="D166" s="2" t="s">
        <v>56</v>
      </c>
      <c r="E166" s="2" t="s">
        <v>18</v>
      </c>
      <c r="F166" s="2" t="s">
        <v>10</v>
      </c>
      <c r="G166" s="1" t="s">
        <v>135</v>
      </c>
      <c r="H166" s="2" t="s">
        <v>16</v>
      </c>
      <c r="I166" s="5">
        <v>576.83000000000004</v>
      </c>
      <c r="J166" s="2">
        <v>5</v>
      </c>
      <c r="K166" s="4">
        <v>93.55</v>
      </c>
    </row>
    <row r="167" spans="1:11" x14ac:dyDescent="0.3">
      <c r="A167" s="3">
        <v>45785</v>
      </c>
      <c r="B167" s="10">
        <f>YEAR(Table1[[#This Row],[Order Date]])</f>
        <v>2025</v>
      </c>
      <c r="C167" s="10">
        <f>MONTH(Table1[[#This Row],[Order Date]])</f>
        <v>5</v>
      </c>
      <c r="D167" s="2" t="s">
        <v>125</v>
      </c>
      <c r="E167" s="2" t="s">
        <v>25</v>
      </c>
      <c r="F167" s="2" t="s">
        <v>10</v>
      </c>
      <c r="G167" s="1" t="s">
        <v>135</v>
      </c>
      <c r="H167" s="2" t="s">
        <v>16</v>
      </c>
      <c r="I167" s="5">
        <v>1062.6500000000001</v>
      </c>
      <c r="J167" s="2">
        <v>1</v>
      </c>
      <c r="K167" s="4">
        <v>301.85000000000002</v>
      </c>
    </row>
    <row r="168" spans="1:11" x14ac:dyDescent="0.3">
      <c r="A168" s="3">
        <v>45786</v>
      </c>
      <c r="B168" s="10">
        <f>YEAR(Table1[[#This Row],[Order Date]])</f>
        <v>2025</v>
      </c>
      <c r="C168" s="10">
        <f>MONTH(Table1[[#This Row],[Order Date]])</f>
        <v>5</v>
      </c>
      <c r="D168" s="2" t="s">
        <v>30</v>
      </c>
      <c r="E168" s="2" t="s">
        <v>39</v>
      </c>
      <c r="F168" s="2" t="s">
        <v>19</v>
      </c>
      <c r="G168" s="1" t="s">
        <v>136</v>
      </c>
      <c r="H168" s="2" t="s">
        <v>45</v>
      </c>
      <c r="I168" s="5">
        <v>378.83</v>
      </c>
      <c r="J168" s="2">
        <v>1</v>
      </c>
      <c r="K168" s="4">
        <v>37.93</v>
      </c>
    </row>
    <row r="169" spans="1:11" x14ac:dyDescent="0.3">
      <c r="A169" s="3">
        <v>45786</v>
      </c>
      <c r="B169" s="10">
        <f>YEAR(Table1[[#This Row],[Order Date]])</f>
        <v>2025</v>
      </c>
      <c r="C169" s="10">
        <f>MONTH(Table1[[#This Row],[Order Date]])</f>
        <v>5</v>
      </c>
      <c r="D169" s="2" t="s">
        <v>44</v>
      </c>
      <c r="E169" s="2" t="s">
        <v>31</v>
      </c>
      <c r="F169" s="2" t="s">
        <v>10</v>
      </c>
      <c r="G169" s="1" t="s">
        <v>135</v>
      </c>
      <c r="H169" s="2" t="s">
        <v>49</v>
      </c>
      <c r="I169" s="5">
        <v>356.64</v>
      </c>
      <c r="J169" s="2">
        <v>4</v>
      </c>
      <c r="K169" s="4">
        <v>45.14</v>
      </c>
    </row>
    <row r="170" spans="1:11" x14ac:dyDescent="0.3">
      <c r="A170" s="3">
        <v>45786</v>
      </c>
      <c r="B170" s="10">
        <f>YEAR(Table1[[#This Row],[Order Date]])</f>
        <v>2025</v>
      </c>
      <c r="C170" s="10">
        <f>MONTH(Table1[[#This Row],[Order Date]])</f>
        <v>5</v>
      </c>
      <c r="D170" s="2" t="s">
        <v>90</v>
      </c>
      <c r="E170" s="2" t="s">
        <v>77</v>
      </c>
      <c r="F170" s="2" t="s">
        <v>19</v>
      </c>
      <c r="G170" s="1" t="s">
        <v>136</v>
      </c>
      <c r="H170" s="2" t="s">
        <v>20</v>
      </c>
      <c r="I170" s="5">
        <v>637.95000000000005</v>
      </c>
      <c r="J170" s="2">
        <v>2</v>
      </c>
      <c r="K170" s="4">
        <v>186</v>
      </c>
    </row>
    <row r="171" spans="1:11" x14ac:dyDescent="0.3">
      <c r="A171" s="3">
        <v>45787</v>
      </c>
      <c r="B171" s="10">
        <f>YEAR(Table1[[#This Row],[Order Date]])</f>
        <v>2025</v>
      </c>
      <c r="C171" s="10">
        <f>MONTH(Table1[[#This Row],[Order Date]])</f>
        <v>5</v>
      </c>
      <c r="D171" s="2" t="s">
        <v>57</v>
      </c>
      <c r="E171" s="2" t="s">
        <v>18</v>
      </c>
      <c r="F171" s="2" t="s">
        <v>28</v>
      </c>
      <c r="G171" s="1" t="s">
        <v>137</v>
      </c>
      <c r="H171" s="2" t="s">
        <v>58</v>
      </c>
      <c r="I171" s="5">
        <v>458.31</v>
      </c>
      <c r="J171" s="2">
        <v>1</v>
      </c>
      <c r="K171" s="4">
        <v>137.22999999999999</v>
      </c>
    </row>
    <row r="172" spans="1:11" x14ac:dyDescent="0.3">
      <c r="A172" s="3">
        <v>45787</v>
      </c>
      <c r="B172" s="10">
        <f>YEAR(Table1[[#This Row],[Order Date]])</f>
        <v>2025</v>
      </c>
      <c r="C172" s="10">
        <f>MONTH(Table1[[#This Row],[Order Date]])</f>
        <v>5</v>
      </c>
      <c r="D172" s="2" t="s">
        <v>81</v>
      </c>
      <c r="E172" s="2" t="s">
        <v>22</v>
      </c>
      <c r="F172" s="2" t="s">
        <v>28</v>
      </c>
      <c r="G172" s="1" t="s">
        <v>137</v>
      </c>
      <c r="H172" s="2" t="s">
        <v>73</v>
      </c>
      <c r="I172" s="5">
        <v>527.65</v>
      </c>
      <c r="J172" s="2">
        <v>3</v>
      </c>
      <c r="K172" s="4">
        <v>102.85</v>
      </c>
    </row>
    <row r="173" spans="1:11" x14ac:dyDescent="0.3">
      <c r="A173" s="3">
        <v>45788</v>
      </c>
      <c r="B173" s="10">
        <f>YEAR(Table1[[#This Row],[Order Date]])</f>
        <v>2025</v>
      </c>
      <c r="C173" s="10">
        <f>MONTH(Table1[[#This Row],[Order Date]])</f>
        <v>5</v>
      </c>
      <c r="D173" s="2" t="s">
        <v>51</v>
      </c>
      <c r="E173" s="2" t="s">
        <v>31</v>
      </c>
      <c r="F173" s="2" t="s">
        <v>19</v>
      </c>
      <c r="G173" s="1" t="s">
        <v>136</v>
      </c>
      <c r="H173" s="2" t="s">
        <v>40</v>
      </c>
      <c r="I173" s="5">
        <v>603.77</v>
      </c>
      <c r="J173" s="2">
        <v>2</v>
      </c>
      <c r="K173" s="4">
        <v>173.45</v>
      </c>
    </row>
    <row r="174" spans="1:11" x14ac:dyDescent="0.3">
      <c r="A174" s="3">
        <v>45788</v>
      </c>
      <c r="B174" s="10">
        <f>YEAR(Table1[[#This Row],[Order Date]])</f>
        <v>2025</v>
      </c>
      <c r="C174" s="10">
        <f>MONTH(Table1[[#This Row],[Order Date]])</f>
        <v>5</v>
      </c>
      <c r="D174" s="2" t="s">
        <v>100</v>
      </c>
      <c r="E174" s="2" t="s">
        <v>25</v>
      </c>
      <c r="F174" s="2" t="s">
        <v>28</v>
      </c>
      <c r="G174" s="1" t="s">
        <v>137</v>
      </c>
      <c r="H174" s="2" t="s">
        <v>29</v>
      </c>
      <c r="I174" s="5">
        <v>628.08000000000004</v>
      </c>
      <c r="J174" s="2">
        <v>1</v>
      </c>
      <c r="K174" s="4">
        <v>33.549999999999997</v>
      </c>
    </row>
    <row r="175" spans="1:11" x14ac:dyDescent="0.3">
      <c r="A175" s="3">
        <v>45788</v>
      </c>
      <c r="B175" s="10">
        <f>YEAR(Table1[[#This Row],[Order Date]])</f>
        <v>2025</v>
      </c>
      <c r="C175" s="10">
        <f>MONTH(Table1[[#This Row],[Order Date]])</f>
        <v>5</v>
      </c>
      <c r="D175" s="2" t="s">
        <v>59</v>
      </c>
      <c r="E175" s="2" t="s">
        <v>15</v>
      </c>
      <c r="F175" s="2" t="s">
        <v>10</v>
      </c>
      <c r="G175" s="1" t="s">
        <v>135</v>
      </c>
      <c r="H175" s="2" t="s">
        <v>23</v>
      </c>
      <c r="I175" s="5">
        <v>1263.8800000000001</v>
      </c>
      <c r="J175" s="2">
        <v>1</v>
      </c>
      <c r="K175" s="4">
        <v>220.03</v>
      </c>
    </row>
    <row r="176" spans="1:11" x14ac:dyDescent="0.3">
      <c r="A176" s="3">
        <v>45790</v>
      </c>
      <c r="B176" s="10">
        <f>YEAR(Table1[[#This Row],[Order Date]])</f>
        <v>2025</v>
      </c>
      <c r="C176" s="10">
        <f>MONTH(Table1[[#This Row],[Order Date]])</f>
        <v>5</v>
      </c>
      <c r="D176" s="2" t="s">
        <v>98</v>
      </c>
      <c r="E176" s="2" t="s">
        <v>31</v>
      </c>
      <c r="F176" s="2" t="s">
        <v>10</v>
      </c>
      <c r="G176" s="1" t="s">
        <v>135</v>
      </c>
      <c r="H176" s="2" t="s">
        <v>13</v>
      </c>
      <c r="I176" s="5">
        <v>1268.74</v>
      </c>
      <c r="J176" s="2">
        <v>4</v>
      </c>
      <c r="K176" s="4">
        <v>113.04</v>
      </c>
    </row>
    <row r="177" spans="1:11" x14ac:dyDescent="0.3">
      <c r="A177" s="3">
        <v>45790</v>
      </c>
      <c r="B177" s="10">
        <f>YEAR(Table1[[#This Row],[Order Date]])</f>
        <v>2025</v>
      </c>
      <c r="C177" s="10">
        <f>MONTH(Table1[[#This Row],[Order Date]])</f>
        <v>5</v>
      </c>
      <c r="D177" s="2" t="s">
        <v>98</v>
      </c>
      <c r="E177" s="2" t="s">
        <v>15</v>
      </c>
      <c r="F177" s="2" t="s">
        <v>19</v>
      </c>
      <c r="G177" s="1" t="s">
        <v>136</v>
      </c>
      <c r="H177" s="2" t="s">
        <v>40</v>
      </c>
      <c r="I177" s="5">
        <v>1258.8499999999999</v>
      </c>
      <c r="J177" s="2">
        <v>4</v>
      </c>
      <c r="K177" s="4">
        <v>246.36</v>
      </c>
    </row>
    <row r="178" spans="1:11" x14ac:dyDescent="0.3">
      <c r="A178" s="3">
        <v>45791</v>
      </c>
      <c r="B178" s="10">
        <f>YEAR(Table1[[#This Row],[Order Date]])</f>
        <v>2025</v>
      </c>
      <c r="C178" s="10">
        <f>MONTH(Table1[[#This Row],[Order Date]])</f>
        <v>5</v>
      </c>
      <c r="D178" s="2" t="s">
        <v>87</v>
      </c>
      <c r="E178" s="2" t="s">
        <v>34</v>
      </c>
      <c r="F178" s="2" t="s">
        <v>10</v>
      </c>
      <c r="G178" s="1" t="s">
        <v>135</v>
      </c>
      <c r="H178" s="2" t="s">
        <v>16</v>
      </c>
      <c r="I178" s="5">
        <v>163.93</v>
      </c>
      <c r="J178" s="2">
        <v>3</v>
      </c>
      <c r="K178" s="4">
        <v>9.9</v>
      </c>
    </row>
    <row r="179" spans="1:11" x14ac:dyDescent="0.3">
      <c r="A179" s="3">
        <v>45793</v>
      </c>
      <c r="B179" s="10">
        <f>YEAR(Table1[[#This Row],[Order Date]])</f>
        <v>2025</v>
      </c>
      <c r="C179" s="10">
        <f>MONTH(Table1[[#This Row],[Order Date]])</f>
        <v>5</v>
      </c>
      <c r="D179" s="2" t="s">
        <v>104</v>
      </c>
      <c r="E179" s="2" t="s">
        <v>77</v>
      </c>
      <c r="F179" s="2" t="s">
        <v>10</v>
      </c>
      <c r="G179" s="1" t="s">
        <v>135</v>
      </c>
      <c r="H179" s="2" t="s">
        <v>49</v>
      </c>
      <c r="I179" s="5">
        <v>1189.6300000000001</v>
      </c>
      <c r="J179" s="2">
        <v>1</v>
      </c>
      <c r="K179" s="4">
        <v>221.13</v>
      </c>
    </row>
    <row r="180" spans="1:11" x14ac:dyDescent="0.3">
      <c r="A180" s="3">
        <v>45795</v>
      </c>
      <c r="B180" s="10">
        <f>YEAR(Table1[[#This Row],[Order Date]])</f>
        <v>2025</v>
      </c>
      <c r="C180" s="10">
        <f>MONTH(Table1[[#This Row],[Order Date]])</f>
        <v>5</v>
      </c>
      <c r="D180" s="2" t="s">
        <v>36</v>
      </c>
      <c r="E180" s="2" t="s">
        <v>22</v>
      </c>
      <c r="F180" s="2" t="s">
        <v>10</v>
      </c>
      <c r="G180" s="1" t="s">
        <v>135</v>
      </c>
      <c r="H180" s="2" t="s">
        <v>13</v>
      </c>
      <c r="I180" s="5">
        <v>582.29999999999995</v>
      </c>
      <c r="J180" s="2">
        <v>1</v>
      </c>
      <c r="K180" s="4">
        <v>56.26</v>
      </c>
    </row>
    <row r="181" spans="1:11" x14ac:dyDescent="0.3">
      <c r="A181" s="3">
        <v>45797</v>
      </c>
      <c r="B181" s="10">
        <f>YEAR(Table1[[#This Row],[Order Date]])</f>
        <v>2025</v>
      </c>
      <c r="C181" s="10">
        <f>MONTH(Table1[[#This Row],[Order Date]])</f>
        <v>5</v>
      </c>
      <c r="D181" s="2" t="s">
        <v>38</v>
      </c>
      <c r="E181" s="2" t="s">
        <v>34</v>
      </c>
      <c r="F181" s="2" t="s">
        <v>19</v>
      </c>
      <c r="G181" s="1" t="s">
        <v>136</v>
      </c>
      <c r="H181" s="2" t="s">
        <v>65</v>
      </c>
      <c r="I181" s="5">
        <v>1387.79</v>
      </c>
      <c r="J181" s="2">
        <v>2</v>
      </c>
      <c r="K181" s="4">
        <v>158.88</v>
      </c>
    </row>
    <row r="182" spans="1:11" x14ac:dyDescent="0.3">
      <c r="A182" s="3">
        <v>45797</v>
      </c>
      <c r="B182" s="10">
        <f>YEAR(Table1[[#This Row],[Order Date]])</f>
        <v>2025</v>
      </c>
      <c r="C182" s="10">
        <f>MONTH(Table1[[#This Row],[Order Date]])</f>
        <v>5</v>
      </c>
      <c r="D182" s="2" t="s">
        <v>75</v>
      </c>
      <c r="E182" s="2" t="s">
        <v>18</v>
      </c>
      <c r="F182" s="2" t="s">
        <v>10</v>
      </c>
      <c r="G182" s="1" t="s">
        <v>135</v>
      </c>
      <c r="H182" s="2" t="s">
        <v>13</v>
      </c>
      <c r="I182" s="5">
        <v>752.27</v>
      </c>
      <c r="J182" s="2">
        <v>3</v>
      </c>
      <c r="K182" s="4">
        <v>135.44</v>
      </c>
    </row>
    <row r="183" spans="1:11" x14ac:dyDescent="0.3">
      <c r="A183" s="3">
        <v>45797</v>
      </c>
      <c r="B183" s="10">
        <f>YEAR(Table1[[#This Row],[Order Date]])</f>
        <v>2025</v>
      </c>
      <c r="C183" s="10">
        <f>MONTH(Table1[[#This Row],[Order Date]])</f>
        <v>5</v>
      </c>
      <c r="D183" s="2" t="s">
        <v>41</v>
      </c>
      <c r="E183" s="2" t="s">
        <v>18</v>
      </c>
      <c r="F183" s="2" t="s">
        <v>28</v>
      </c>
      <c r="G183" s="1" t="s">
        <v>137</v>
      </c>
      <c r="H183" s="2" t="s">
        <v>29</v>
      </c>
      <c r="I183" s="5">
        <v>726.91</v>
      </c>
      <c r="J183" s="2">
        <v>3</v>
      </c>
      <c r="K183" s="4">
        <v>203.69</v>
      </c>
    </row>
    <row r="184" spans="1:11" x14ac:dyDescent="0.3">
      <c r="A184" s="3">
        <v>45798</v>
      </c>
      <c r="B184" s="10">
        <f>YEAR(Table1[[#This Row],[Order Date]])</f>
        <v>2025</v>
      </c>
      <c r="C184" s="10">
        <f>MONTH(Table1[[#This Row],[Order Date]])</f>
        <v>5</v>
      </c>
      <c r="D184" s="2" t="s">
        <v>74</v>
      </c>
      <c r="E184" s="2" t="s">
        <v>18</v>
      </c>
      <c r="F184" s="2" t="s">
        <v>28</v>
      </c>
      <c r="G184" s="1" t="s">
        <v>137</v>
      </c>
      <c r="H184" s="2" t="s">
        <v>58</v>
      </c>
      <c r="I184" s="5">
        <v>1124.0999999999999</v>
      </c>
      <c r="J184" s="2">
        <v>5</v>
      </c>
      <c r="K184" s="4">
        <v>317.08999999999997</v>
      </c>
    </row>
    <row r="185" spans="1:11" x14ac:dyDescent="0.3">
      <c r="A185" s="3">
        <v>45799</v>
      </c>
      <c r="B185" s="10">
        <f>YEAR(Table1[[#This Row],[Order Date]])</f>
        <v>2025</v>
      </c>
      <c r="C185" s="10">
        <f>MONTH(Table1[[#This Row],[Order Date]])</f>
        <v>5</v>
      </c>
      <c r="D185" s="2" t="s">
        <v>54</v>
      </c>
      <c r="E185" s="2" t="s">
        <v>34</v>
      </c>
      <c r="F185" s="2" t="s">
        <v>10</v>
      </c>
      <c r="G185" s="1" t="s">
        <v>135</v>
      </c>
      <c r="H185" s="2" t="s">
        <v>23</v>
      </c>
      <c r="I185" s="5">
        <v>1197.23</v>
      </c>
      <c r="J185" s="2">
        <v>4</v>
      </c>
      <c r="K185" s="4">
        <v>69.599999999999994</v>
      </c>
    </row>
    <row r="186" spans="1:11" x14ac:dyDescent="0.3">
      <c r="A186" s="3">
        <v>45800</v>
      </c>
      <c r="B186" s="10">
        <f>YEAR(Table1[[#This Row],[Order Date]])</f>
        <v>2025</v>
      </c>
      <c r="C186" s="10">
        <f>MONTH(Table1[[#This Row],[Order Date]])</f>
        <v>5</v>
      </c>
      <c r="D186" s="2" t="s">
        <v>126</v>
      </c>
      <c r="E186" s="2" t="s">
        <v>34</v>
      </c>
      <c r="F186" s="2" t="s">
        <v>10</v>
      </c>
      <c r="G186" s="1" t="s">
        <v>135</v>
      </c>
      <c r="H186" s="2" t="s">
        <v>49</v>
      </c>
      <c r="I186" s="5">
        <v>1262.27</v>
      </c>
      <c r="J186" s="2">
        <v>1</v>
      </c>
      <c r="K186" s="4">
        <v>337.11</v>
      </c>
    </row>
    <row r="187" spans="1:11" x14ac:dyDescent="0.3">
      <c r="A187" s="3">
        <v>45802</v>
      </c>
      <c r="B187" s="10">
        <f>YEAR(Table1[[#This Row],[Order Date]])</f>
        <v>2025</v>
      </c>
      <c r="C187" s="10">
        <f>MONTH(Table1[[#This Row],[Order Date]])</f>
        <v>5</v>
      </c>
      <c r="D187" s="2" t="s">
        <v>12</v>
      </c>
      <c r="E187" s="2" t="s">
        <v>9</v>
      </c>
      <c r="F187" s="2" t="s">
        <v>10</v>
      </c>
      <c r="G187" s="1" t="s">
        <v>135</v>
      </c>
      <c r="H187" s="2" t="s">
        <v>13</v>
      </c>
      <c r="I187" s="5">
        <v>242.43</v>
      </c>
      <c r="J187" s="2">
        <v>3</v>
      </c>
      <c r="K187" s="4">
        <v>39.96</v>
      </c>
    </row>
    <row r="188" spans="1:11" x14ac:dyDescent="0.3">
      <c r="A188" s="3">
        <v>45802</v>
      </c>
      <c r="B188" s="10">
        <f>YEAR(Table1[[#This Row],[Order Date]])</f>
        <v>2025</v>
      </c>
      <c r="C188" s="10">
        <f>MONTH(Table1[[#This Row],[Order Date]])</f>
        <v>5</v>
      </c>
      <c r="D188" s="2" t="s">
        <v>105</v>
      </c>
      <c r="E188" s="2" t="s">
        <v>39</v>
      </c>
      <c r="F188" s="2" t="s">
        <v>19</v>
      </c>
      <c r="G188" s="1" t="s">
        <v>136</v>
      </c>
      <c r="H188" s="2" t="s">
        <v>32</v>
      </c>
      <c r="I188" s="5">
        <v>1326.73</v>
      </c>
      <c r="J188" s="2">
        <v>2</v>
      </c>
      <c r="K188" s="4">
        <v>215.19</v>
      </c>
    </row>
    <row r="189" spans="1:11" x14ac:dyDescent="0.3">
      <c r="A189" s="3">
        <v>45802</v>
      </c>
      <c r="B189" s="10">
        <f>YEAR(Table1[[#This Row],[Order Date]])</f>
        <v>2025</v>
      </c>
      <c r="C189" s="10">
        <f>MONTH(Table1[[#This Row],[Order Date]])</f>
        <v>5</v>
      </c>
      <c r="D189" s="2" t="s">
        <v>100</v>
      </c>
      <c r="E189" s="2" t="s">
        <v>15</v>
      </c>
      <c r="F189" s="2" t="s">
        <v>10</v>
      </c>
      <c r="G189" s="1" t="s">
        <v>135</v>
      </c>
      <c r="H189" s="2" t="s">
        <v>16</v>
      </c>
      <c r="I189" s="5">
        <v>1246.0899999999999</v>
      </c>
      <c r="J189" s="2">
        <v>1</v>
      </c>
      <c r="K189" s="4">
        <v>250.4</v>
      </c>
    </row>
    <row r="190" spans="1:11" x14ac:dyDescent="0.3">
      <c r="A190" s="3">
        <v>45803</v>
      </c>
      <c r="B190" s="10">
        <f>YEAR(Table1[[#This Row],[Order Date]])</f>
        <v>2025</v>
      </c>
      <c r="C190" s="10">
        <f>MONTH(Table1[[#This Row],[Order Date]])</f>
        <v>5</v>
      </c>
      <c r="D190" s="2" t="s">
        <v>105</v>
      </c>
      <c r="E190" s="2" t="s">
        <v>39</v>
      </c>
      <c r="F190" s="2" t="s">
        <v>19</v>
      </c>
      <c r="G190" s="1" t="s">
        <v>136</v>
      </c>
      <c r="H190" s="2" t="s">
        <v>40</v>
      </c>
      <c r="I190" s="5">
        <v>894.45</v>
      </c>
      <c r="J190" s="2">
        <v>4</v>
      </c>
      <c r="K190" s="4">
        <v>124.13</v>
      </c>
    </row>
    <row r="191" spans="1:11" x14ac:dyDescent="0.3">
      <c r="A191" s="3">
        <v>45804</v>
      </c>
      <c r="B191" s="10">
        <f>YEAR(Table1[[#This Row],[Order Date]])</f>
        <v>2025</v>
      </c>
      <c r="C191" s="10">
        <f>MONTH(Table1[[#This Row],[Order Date]])</f>
        <v>5</v>
      </c>
      <c r="D191" s="2" t="s">
        <v>33</v>
      </c>
      <c r="E191" s="2" t="s">
        <v>34</v>
      </c>
      <c r="F191" s="2" t="s">
        <v>28</v>
      </c>
      <c r="G191" s="1" t="s">
        <v>137</v>
      </c>
      <c r="H191" s="2" t="s">
        <v>35</v>
      </c>
      <c r="I191" s="5">
        <v>855.87</v>
      </c>
      <c r="J191" s="2">
        <v>5</v>
      </c>
      <c r="K191" s="4">
        <v>250.25</v>
      </c>
    </row>
    <row r="192" spans="1:11" x14ac:dyDescent="0.3">
      <c r="A192" s="3">
        <v>45804</v>
      </c>
      <c r="B192" s="10">
        <f>YEAR(Table1[[#This Row],[Order Date]])</f>
        <v>2025</v>
      </c>
      <c r="C192" s="10">
        <f>MONTH(Table1[[#This Row],[Order Date]])</f>
        <v>5</v>
      </c>
      <c r="D192" s="2" t="s">
        <v>38</v>
      </c>
      <c r="E192" s="2" t="s">
        <v>39</v>
      </c>
      <c r="F192" s="2" t="s">
        <v>19</v>
      </c>
      <c r="G192" s="1" t="s">
        <v>136</v>
      </c>
      <c r="H192" s="2" t="s">
        <v>40</v>
      </c>
      <c r="I192" s="5">
        <v>414.31</v>
      </c>
      <c r="J192" s="2">
        <v>5</v>
      </c>
      <c r="K192" s="4">
        <v>81.489999999999995</v>
      </c>
    </row>
    <row r="193" spans="1:11" x14ac:dyDescent="0.3">
      <c r="A193" s="3">
        <v>45804</v>
      </c>
      <c r="B193" s="10">
        <f>YEAR(Table1[[#This Row],[Order Date]])</f>
        <v>2025</v>
      </c>
      <c r="C193" s="10">
        <f>MONTH(Table1[[#This Row],[Order Date]])</f>
        <v>5</v>
      </c>
      <c r="D193" s="2" t="s">
        <v>89</v>
      </c>
      <c r="E193" s="2" t="s">
        <v>31</v>
      </c>
      <c r="F193" s="2" t="s">
        <v>28</v>
      </c>
      <c r="G193" s="1" t="s">
        <v>137</v>
      </c>
      <c r="H193" s="2" t="s">
        <v>73</v>
      </c>
      <c r="I193" s="5">
        <v>529.02</v>
      </c>
      <c r="J193" s="2">
        <v>3</v>
      </c>
      <c r="K193" s="4">
        <v>142.5</v>
      </c>
    </row>
    <row r="194" spans="1:11" x14ac:dyDescent="0.3">
      <c r="A194" s="3">
        <v>45804</v>
      </c>
      <c r="B194" s="10">
        <f>YEAR(Table1[[#This Row],[Order Date]])</f>
        <v>2025</v>
      </c>
      <c r="C194" s="10">
        <f>MONTH(Table1[[#This Row],[Order Date]])</f>
        <v>5</v>
      </c>
      <c r="D194" s="2" t="s">
        <v>89</v>
      </c>
      <c r="E194" s="2" t="s">
        <v>39</v>
      </c>
      <c r="F194" s="2" t="s">
        <v>19</v>
      </c>
      <c r="G194" s="1" t="s">
        <v>136</v>
      </c>
      <c r="H194" s="2" t="s">
        <v>40</v>
      </c>
      <c r="I194" s="5">
        <v>1259.3399999999999</v>
      </c>
      <c r="J194" s="2">
        <v>5</v>
      </c>
      <c r="K194" s="4">
        <v>133.04</v>
      </c>
    </row>
    <row r="195" spans="1:11" x14ac:dyDescent="0.3">
      <c r="A195" s="3">
        <v>45804</v>
      </c>
      <c r="B195" s="10">
        <f>YEAR(Table1[[#This Row],[Order Date]])</f>
        <v>2025</v>
      </c>
      <c r="C195" s="10">
        <f>MONTH(Table1[[#This Row],[Order Date]])</f>
        <v>5</v>
      </c>
      <c r="D195" s="2" t="s">
        <v>110</v>
      </c>
      <c r="E195" s="2" t="s">
        <v>18</v>
      </c>
      <c r="F195" s="2" t="s">
        <v>28</v>
      </c>
      <c r="G195" s="1" t="s">
        <v>137</v>
      </c>
      <c r="H195" s="2" t="s">
        <v>58</v>
      </c>
      <c r="I195" s="5">
        <v>945.28</v>
      </c>
      <c r="J195" s="2">
        <v>2</v>
      </c>
      <c r="K195" s="4">
        <v>80.180000000000007</v>
      </c>
    </row>
    <row r="196" spans="1:11" x14ac:dyDescent="0.3">
      <c r="A196" s="3">
        <v>45804</v>
      </c>
      <c r="B196" s="10">
        <f>YEAR(Table1[[#This Row],[Order Date]])</f>
        <v>2025</v>
      </c>
      <c r="C196" s="10">
        <f>MONTH(Table1[[#This Row],[Order Date]])</f>
        <v>5</v>
      </c>
      <c r="D196" s="2" t="s">
        <v>90</v>
      </c>
      <c r="E196" s="2" t="s">
        <v>9</v>
      </c>
      <c r="F196" s="2" t="s">
        <v>19</v>
      </c>
      <c r="G196" s="1" t="s">
        <v>136</v>
      </c>
      <c r="H196" s="2" t="s">
        <v>45</v>
      </c>
      <c r="I196" s="5">
        <v>669.19</v>
      </c>
      <c r="J196" s="2">
        <v>4</v>
      </c>
      <c r="K196" s="4">
        <v>44.77</v>
      </c>
    </row>
    <row r="197" spans="1:11" x14ac:dyDescent="0.3">
      <c r="A197" s="3">
        <v>45805</v>
      </c>
      <c r="B197" s="10">
        <f>YEAR(Table1[[#This Row],[Order Date]])</f>
        <v>2025</v>
      </c>
      <c r="C197" s="10">
        <f>MONTH(Table1[[#This Row],[Order Date]])</f>
        <v>5</v>
      </c>
      <c r="D197" s="2" t="s">
        <v>43</v>
      </c>
      <c r="E197" s="2" t="s">
        <v>15</v>
      </c>
      <c r="F197" s="2" t="s">
        <v>28</v>
      </c>
      <c r="G197" s="1" t="s">
        <v>137</v>
      </c>
      <c r="H197" s="2" t="s">
        <v>69</v>
      </c>
      <c r="I197" s="5">
        <v>1056.67</v>
      </c>
      <c r="J197" s="2">
        <v>2</v>
      </c>
      <c r="K197" s="4">
        <v>257.77999999999997</v>
      </c>
    </row>
    <row r="198" spans="1:11" x14ac:dyDescent="0.3">
      <c r="A198" s="3">
        <v>45806</v>
      </c>
      <c r="B198" s="10">
        <f>YEAR(Table1[[#This Row],[Order Date]])</f>
        <v>2025</v>
      </c>
      <c r="C198" s="10">
        <f>MONTH(Table1[[#This Row],[Order Date]])</f>
        <v>5</v>
      </c>
      <c r="D198" s="2" t="s">
        <v>48</v>
      </c>
      <c r="E198" s="2" t="s">
        <v>37</v>
      </c>
      <c r="F198" s="2" t="s">
        <v>10</v>
      </c>
      <c r="G198" s="1" t="s">
        <v>135</v>
      </c>
      <c r="H198" s="2" t="s">
        <v>13</v>
      </c>
      <c r="I198" s="5">
        <v>1142.33</v>
      </c>
      <c r="J198" s="2">
        <v>2</v>
      </c>
      <c r="K198" s="4">
        <v>270.58</v>
      </c>
    </row>
    <row r="199" spans="1:11" x14ac:dyDescent="0.3">
      <c r="A199" s="3">
        <v>45806</v>
      </c>
      <c r="B199" s="10">
        <f>YEAR(Table1[[#This Row],[Order Date]])</f>
        <v>2025</v>
      </c>
      <c r="C199" s="10">
        <f>MONTH(Table1[[#This Row],[Order Date]])</f>
        <v>5</v>
      </c>
      <c r="D199" s="2" t="s">
        <v>93</v>
      </c>
      <c r="E199" s="2" t="s">
        <v>9</v>
      </c>
      <c r="F199" s="2" t="s">
        <v>28</v>
      </c>
      <c r="G199" s="1" t="s">
        <v>137</v>
      </c>
      <c r="H199" s="2" t="s">
        <v>69</v>
      </c>
      <c r="I199" s="5">
        <v>565.54</v>
      </c>
      <c r="J199" s="2">
        <v>2</v>
      </c>
      <c r="K199" s="4">
        <v>53.86</v>
      </c>
    </row>
    <row r="200" spans="1:11" x14ac:dyDescent="0.3">
      <c r="A200" s="3">
        <v>45809</v>
      </c>
      <c r="B200" s="10">
        <f>YEAR(Table1[[#This Row],[Order Date]])</f>
        <v>2025</v>
      </c>
      <c r="C200" s="10">
        <f>MONTH(Table1[[#This Row],[Order Date]])</f>
        <v>6</v>
      </c>
      <c r="D200" s="2" t="s">
        <v>43</v>
      </c>
      <c r="E200" s="2" t="s">
        <v>77</v>
      </c>
      <c r="F200" s="2" t="s">
        <v>10</v>
      </c>
      <c r="G200" s="1" t="s">
        <v>135</v>
      </c>
      <c r="H200" s="2" t="s">
        <v>23</v>
      </c>
      <c r="I200" s="5">
        <v>1446.39</v>
      </c>
      <c r="J200" s="2">
        <v>4</v>
      </c>
      <c r="K200" s="4">
        <v>108.23</v>
      </c>
    </row>
    <row r="201" spans="1:11" x14ac:dyDescent="0.3">
      <c r="A201" s="3">
        <v>45811</v>
      </c>
      <c r="B201" s="10">
        <f>YEAR(Table1[[#This Row],[Order Date]])</f>
        <v>2025</v>
      </c>
      <c r="C201" s="10">
        <f>MONTH(Table1[[#This Row],[Order Date]])</f>
        <v>6</v>
      </c>
      <c r="D201" s="2" t="s">
        <v>66</v>
      </c>
      <c r="E201" s="2" t="s">
        <v>39</v>
      </c>
      <c r="F201" s="2" t="s">
        <v>10</v>
      </c>
      <c r="G201" s="1" t="s">
        <v>135</v>
      </c>
      <c r="H201" s="2" t="s">
        <v>49</v>
      </c>
      <c r="I201" s="5">
        <v>651.20000000000005</v>
      </c>
      <c r="J201" s="2">
        <v>1</v>
      </c>
      <c r="K201" s="4">
        <v>55.72</v>
      </c>
    </row>
    <row r="202" spans="1:11" x14ac:dyDescent="0.3">
      <c r="A202" s="3">
        <v>45812</v>
      </c>
      <c r="B202" s="10">
        <f>YEAR(Table1[[#This Row],[Order Date]])</f>
        <v>2025</v>
      </c>
      <c r="C202" s="10">
        <f>MONTH(Table1[[#This Row],[Order Date]])</f>
        <v>6</v>
      </c>
      <c r="D202" s="2" t="s">
        <v>75</v>
      </c>
      <c r="E202" s="2" t="s">
        <v>9</v>
      </c>
      <c r="F202" s="2" t="s">
        <v>28</v>
      </c>
      <c r="G202" s="1" t="s">
        <v>137</v>
      </c>
      <c r="H202" s="2" t="s">
        <v>73</v>
      </c>
      <c r="I202" s="5">
        <v>862.72</v>
      </c>
      <c r="J202" s="2">
        <v>4</v>
      </c>
      <c r="K202" s="4">
        <v>227.11</v>
      </c>
    </row>
    <row r="203" spans="1:11" x14ac:dyDescent="0.3">
      <c r="A203" s="3">
        <v>45812</v>
      </c>
      <c r="B203" s="10">
        <f>YEAR(Table1[[#This Row],[Order Date]])</f>
        <v>2025</v>
      </c>
      <c r="C203" s="10">
        <f>MONTH(Table1[[#This Row],[Order Date]])</f>
        <v>6</v>
      </c>
      <c r="D203" s="2" t="s">
        <v>95</v>
      </c>
      <c r="E203" s="2" t="s">
        <v>31</v>
      </c>
      <c r="F203" s="2" t="s">
        <v>28</v>
      </c>
      <c r="G203" s="1" t="s">
        <v>137</v>
      </c>
      <c r="H203" s="2" t="s">
        <v>58</v>
      </c>
      <c r="I203" s="5">
        <v>731.75</v>
      </c>
      <c r="J203" s="2">
        <v>3</v>
      </c>
      <c r="K203" s="4">
        <v>200.28</v>
      </c>
    </row>
    <row r="204" spans="1:11" x14ac:dyDescent="0.3">
      <c r="A204" s="3">
        <v>45812</v>
      </c>
      <c r="B204" s="10">
        <f>YEAR(Table1[[#This Row],[Order Date]])</f>
        <v>2025</v>
      </c>
      <c r="C204" s="10">
        <f>MONTH(Table1[[#This Row],[Order Date]])</f>
        <v>6</v>
      </c>
      <c r="D204" s="2" t="s">
        <v>113</v>
      </c>
      <c r="E204" s="2" t="s">
        <v>39</v>
      </c>
      <c r="F204" s="2" t="s">
        <v>19</v>
      </c>
      <c r="G204" s="1" t="s">
        <v>136</v>
      </c>
      <c r="H204" s="2" t="s">
        <v>45</v>
      </c>
      <c r="I204" s="5">
        <v>157.78</v>
      </c>
      <c r="J204" s="2">
        <v>2</v>
      </c>
      <c r="K204" s="4">
        <v>33.83</v>
      </c>
    </row>
    <row r="205" spans="1:11" x14ac:dyDescent="0.3">
      <c r="A205" s="3">
        <v>45813</v>
      </c>
      <c r="B205" s="10">
        <f>YEAR(Table1[[#This Row],[Order Date]])</f>
        <v>2025</v>
      </c>
      <c r="C205" s="10">
        <f>MONTH(Table1[[#This Row],[Order Date]])</f>
        <v>6</v>
      </c>
      <c r="D205" s="2" t="s">
        <v>128</v>
      </c>
      <c r="E205" s="2" t="s">
        <v>37</v>
      </c>
      <c r="F205" s="2" t="s">
        <v>28</v>
      </c>
      <c r="G205" s="1" t="s">
        <v>137</v>
      </c>
      <c r="H205" s="2" t="s">
        <v>73</v>
      </c>
      <c r="I205" s="5">
        <v>661.38</v>
      </c>
      <c r="J205" s="2">
        <v>4</v>
      </c>
      <c r="K205" s="4">
        <v>100.04</v>
      </c>
    </row>
    <row r="206" spans="1:11" x14ac:dyDescent="0.3">
      <c r="A206" s="3">
        <v>45813</v>
      </c>
      <c r="B206" s="10">
        <f>YEAR(Table1[[#This Row],[Order Date]])</f>
        <v>2025</v>
      </c>
      <c r="C206" s="10">
        <f>MONTH(Table1[[#This Row],[Order Date]])</f>
        <v>6</v>
      </c>
      <c r="D206" s="2" t="s">
        <v>131</v>
      </c>
      <c r="E206" s="2" t="s">
        <v>34</v>
      </c>
      <c r="F206" s="2" t="s">
        <v>19</v>
      </c>
      <c r="G206" s="1" t="s">
        <v>136</v>
      </c>
      <c r="H206" s="2" t="s">
        <v>65</v>
      </c>
      <c r="I206" s="5">
        <v>1469.53</v>
      </c>
      <c r="J206" s="2">
        <v>5</v>
      </c>
      <c r="K206" s="4">
        <v>313.81</v>
      </c>
    </row>
    <row r="207" spans="1:11" x14ac:dyDescent="0.3">
      <c r="A207" s="3">
        <v>45817</v>
      </c>
      <c r="B207" s="10">
        <f>YEAR(Table1[[#This Row],[Order Date]])</f>
        <v>2025</v>
      </c>
      <c r="C207" s="10">
        <f>MONTH(Table1[[#This Row],[Order Date]])</f>
        <v>6</v>
      </c>
      <c r="D207" s="2" t="s">
        <v>117</v>
      </c>
      <c r="E207" s="2" t="s">
        <v>15</v>
      </c>
      <c r="F207" s="2" t="s">
        <v>10</v>
      </c>
      <c r="G207" s="1" t="s">
        <v>135</v>
      </c>
      <c r="H207" s="2" t="s">
        <v>13</v>
      </c>
      <c r="I207" s="5">
        <v>448.13</v>
      </c>
      <c r="J207" s="2">
        <v>3</v>
      </c>
      <c r="K207" s="4">
        <v>73.19</v>
      </c>
    </row>
    <row r="208" spans="1:11" x14ac:dyDescent="0.3">
      <c r="A208" s="3">
        <v>45817</v>
      </c>
      <c r="B208" s="10">
        <f>YEAR(Table1[[#This Row],[Order Date]])</f>
        <v>2025</v>
      </c>
      <c r="C208" s="10">
        <f>MONTH(Table1[[#This Row],[Order Date]])</f>
        <v>6</v>
      </c>
      <c r="D208" s="2" t="s">
        <v>93</v>
      </c>
      <c r="E208" s="2" t="s">
        <v>9</v>
      </c>
      <c r="F208" s="2" t="s">
        <v>28</v>
      </c>
      <c r="G208" s="1" t="s">
        <v>137</v>
      </c>
      <c r="H208" s="2" t="s">
        <v>73</v>
      </c>
      <c r="I208" s="5">
        <v>149.91</v>
      </c>
      <c r="J208" s="2">
        <v>5</v>
      </c>
      <c r="K208" s="4">
        <v>24.13</v>
      </c>
    </row>
    <row r="209" spans="1:11" x14ac:dyDescent="0.3">
      <c r="A209" s="3">
        <v>45818</v>
      </c>
      <c r="B209" s="10">
        <f>YEAR(Table1[[#This Row],[Order Date]])</f>
        <v>2025</v>
      </c>
      <c r="C209" s="10">
        <f>MONTH(Table1[[#This Row],[Order Date]])</f>
        <v>6</v>
      </c>
      <c r="D209" s="2" t="s">
        <v>12</v>
      </c>
      <c r="E209" s="2" t="s">
        <v>18</v>
      </c>
      <c r="F209" s="2" t="s">
        <v>19</v>
      </c>
      <c r="G209" s="1" t="s">
        <v>136</v>
      </c>
      <c r="H209" s="2" t="s">
        <v>65</v>
      </c>
      <c r="I209" s="5">
        <v>594.74</v>
      </c>
      <c r="J209" s="2">
        <v>3</v>
      </c>
      <c r="K209" s="4">
        <v>122.53</v>
      </c>
    </row>
    <row r="210" spans="1:11" x14ac:dyDescent="0.3">
      <c r="A210" s="3">
        <v>45821</v>
      </c>
      <c r="B210" s="10">
        <f>YEAR(Table1[[#This Row],[Order Date]])</f>
        <v>2025</v>
      </c>
      <c r="C210" s="10">
        <f>MONTH(Table1[[#This Row],[Order Date]])</f>
        <v>6</v>
      </c>
      <c r="D210" s="2" t="s">
        <v>99</v>
      </c>
      <c r="E210" s="2" t="s">
        <v>18</v>
      </c>
      <c r="F210" s="2" t="s">
        <v>28</v>
      </c>
      <c r="G210" s="1" t="s">
        <v>137</v>
      </c>
      <c r="H210" s="2" t="s">
        <v>73</v>
      </c>
      <c r="I210" s="5">
        <v>766.13</v>
      </c>
      <c r="J210" s="2">
        <v>2</v>
      </c>
      <c r="K210" s="4">
        <v>93.28</v>
      </c>
    </row>
    <row r="211" spans="1:11" x14ac:dyDescent="0.3">
      <c r="A211" s="3">
        <v>45822</v>
      </c>
      <c r="B211" s="10">
        <f>YEAR(Table1[[#This Row],[Order Date]])</f>
        <v>2025</v>
      </c>
      <c r="C211" s="10">
        <f>MONTH(Table1[[#This Row],[Order Date]])</f>
        <v>6</v>
      </c>
      <c r="D211" s="2" t="s">
        <v>112</v>
      </c>
      <c r="E211" s="2" t="s">
        <v>25</v>
      </c>
      <c r="F211" s="2" t="s">
        <v>10</v>
      </c>
      <c r="G211" s="1" t="s">
        <v>135</v>
      </c>
      <c r="H211" s="2" t="s">
        <v>11</v>
      </c>
      <c r="I211" s="5">
        <v>810.72</v>
      </c>
      <c r="J211" s="2">
        <v>3</v>
      </c>
      <c r="K211" s="4">
        <v>227.6</v>
      </c>
    </row>
    <row r="212" spans="1:11" x14ac:dyDescent="0.3">
      <c r="A212" s="3">
        <v>45822</v>
      </c>
      <c r="B212" s="10">
        <f>YEAR(Table1[[#This Row],[Order Date]])</f>
        <v>2025</v>
      </c>
      <c r="C212" s="10">
        <f>MONTH(Table1[[#This Row],[Order Date]])</f>
        <v>6</v>
      </c>
      <c r="D212" s="2" t="s">
        <v>36</v>
      </c>
      <c r="E212" s="2" t="s">
        <v>39</v>
      </c>
      <c r="F212" s="2" t="s">
        <v>28</v>
      </c>
      <c r="G212" s="1" t="s">
        <v>137</v>
      </c>
      <c r="H212" s="2" t="s">
        <v>58</v>
      </c>
      <c r="I212" s="5">
        <v>650.6</v>
      </c>
      <c r="J212" s="2">
        <v>3</v>
      </c>
      <c r="K212" s="4">
        <v>45.15</v>
      </c>
    </row>
    <row r="213" spans="1:11" x14ac:dyDescent="0.3">
      <c r="A213" s="3">
        <v>45823</v>
      </c>
      <c r="B213" s="10">
        <f>YEAR(Table1[[#This Row],[Order Date]])</f>
        <v>2025</v>
      </c>
      <c r="C213" s="10">
        <f>MONTH(Table1[[#This Row],[Order Date]])</f>
        <v>6</v>
      </c>
      <c r="D213" s="2" t="s">
        <v>8</v>
      </c>
      <c r="E213" s="2" t="s">
        <v>25</v>
      </c>
      <c r="F213" s="2" t="s">
        <v>10</v>
      </c>
      <c r="G213" s="1" t="s">
        <v>135</v>
      </c>
      <c r="H213" s="2" t="s">
        <v>16</v>
      </c>
      <c r="I213" s="5">
        <v>934.26</v>
      </c>
      <c r="J213" s="2">
        <v>2</v>
      </c>
      <c r="K213" s="4">
        <v>234.74</v>
      </c>
    </row>
    <row r="214" spans="1:11" x14ac:dyDescent="0.3">
      <c r="A214" s="3">
        <v>45823</v>
      </c>
      <c r="B214" s="10">
        <f>YEAR(Table1[[#This Row],[Order Date]])</f>
        <v>2025</v>
      </c>
      <c r="C214" s="10">
        <f>MONTH(Table1[[#This Row],[Order Date]])</f>
        <v>6</v>
      </c>
      <c r="D214" s="2" t="s">
        <v>14</v>
      </c>
      <c r="E214" s="2" t="s">
        <v>9</v>
      </c>
      <c r="F214" s="2" t="s">
        <v>28</v>
      </c>
      <c r="G214" s="1" t="s">
        <v>137</v>
      </c>
      <c r="H214" s="2" t="s">
        <v>29</v>
      </c>
      <c r="I214" s="5">
        <v>775.85</v>
      </c>
      <c r="J214" s="2">
        <v>1</v>
      </c>
      <c r="K214" s="4">
        <v>123.87</v>
      </c>
    </row>
    <row r="215" spans="1:11" x14ac:dyDescent="0.3">
      <c r="A215" s="3">
        <v>45823</v>
      </c>
      <c r="B215" s="10">
        <f>YEAR(Table1[[#This Row],[Order Date]])</f>
        <v>2025</v>
      </c>
      <c r="C215" s="10">
        <f>MONTH(Table1[[#This Row],[Order Date]])</f>
        <v>6</v>
      </c>
      <c r="D215" s="2" t="s">
        <v>118</v>
      </c>
      <c r="E215" s="2" t="s">
        <v>15</v>
      </c>
      <c r="F215" s="2" t="s">
        <v>10</v>
      </c>
      <c r="G215" s="1" t="s">
        <v>135</v>
      </c>
      <c r="H215" s="2" t="s">
        <v>49</v>
      </c>
      <c r="I215" s="5">
        <v>916.64</v>
      </c>
      <c r="J215" s="2">
        <v>4</v>
      </c>
      <c r="K215" s="4">
        <v>225.04</v>
      </c>
    </row>
    <row r="216" spans="1:11" x14ac:dyDescent="0.3">
      <c r="A216" s="3">
        <v>45824</v>
      </c>
      <c r="B216" s="10">
        <f>YEAR(Table1[[#This Row],[Order Date]])</f>
        <v>2025</v>
      </c>
      <c r="C216" s="10">
        <f>MONTH(Table1[[#This Row],[Order Date]])</f>
        <v>6</v>
      </c>
      <c r="D216" s="2" t="s">
        <v>44</v>
      </c>
      <c r="E216" s="2" t="s">
        <v>25</v>
      </c>
      <c r="F216" s="2" t="s">
        <v>28</v>
      </c>
      <c r="G216" s="1" t="s">
        <v>137</v>
      </c>
      <c r="H216" s="2" t="s">
        <v>29</v>
      </c>
      <c r="I216" s="5">
        <v>972.26</v>
      </c>
      <c r="J216" s="2">
        <v>3</v>
      </c>
      <c r="K216" s="4">
        <v>211.82</v>
      </c>
    </row>
    <row r="217" spans="1:11" x14ac:dyDescent="0.3">
      <c r="A217" s="3">
        <v>45825</v>
      </c>
      <c r="B217" s="10">
        <f>YEAR(Table1[[#This Row],[Order Date]])</f>
        <v>2025</v>
      </c>
      <c r="C217" s="10">
        <f>MONTH(Table1[[#This Row],[Order Date]])</f>
        <v>6</v>
      </c>
      <c r="D217" s="2" t="s">
        <v>119</v>
      </c>
      <c r="E217" s="2" t="s">
        <v>18</v>
      </c>
      <c r="F217" s="2" t="s">
        <v>28</v>
      </c>
      <c r="G217" s="1" t="s">
        <v>137</v>
      </c>
      <c r="H217" s="2" t="s">
        <v>69</v>
      </c>
      <c r="I217" s="5">
        <v>547.85</v>
      </c>
      <c r="J217" s="2">
        <v>4</v>
      </c>
      <c r="K217" s="4">
        <v>137.97999999999999</v>
      </c>
    </row>
    <row r="218" spans="1:11" x14ac:dyDescent="0.3">
      <c r="A218" s="3">
        <v>45827</v>
      </c>
      <c r="B218" s="10">
        <f>YEAR(Table1[[#This Row],[Order Date]])</f>
        <v>2025</v>
      </c>
      <c r="C218" s="10">
        <f>MONTH(Table1[[#This Row],[Order Date]])</f>
        <v>6</v>
      </c>
      <c r="D218" s="2" t="s">
        <v>80</v>
      </c>
      <c r="E218" s="2" t="s">
        <v>77</v>
      </c>
      <c r="F218" s="2" t="s">
        <v>10</v>
      </c>
      <c r="G218" s="1" t="s">
        <v>135</v>
      </c>
      <c r="H218" s="2" t="s">
        <v>11</v>
      </c>
      <c r="I218" s="5">
        <v>872.51</v>
      </c>
      <c r="J218" s="2">
        <v>3</v>
      </c>
      <c r="K218" s="4">
        <v>145.19</v>
      </c>
    </row>
    <row r="219" spans="1:11" x14ac:dyDescent="0.3">
      <c r="A219" s="3">
        <v>45828</v>
      </c>
      <c r="B219" s="10">
        <f>YEAR(Table1[[#This Row],[Order Date]])</f>
        <v>2025</v>
      </c>
      <c r="C219" s="10">
        <f>MONTH(Table1[[#This Row],[Order Date]])</f>
        <v>6</v>
      </c>
      <c r="D219" s="2" t="s">
        <v>100</v>
      </c>
      <c r="E219" s="2" t="s">
        <v>18</v>
      </c>
      <c r="F219" s="2" t="s">
        <v>10</v>
      </c>
      <c r="G219" s="1" t="s">
        <v>135</v>
      </c>
      <c r="H219" s="2" t="s">
        <v>16</v>
      </c>
      <c r="I219" s="5">
        <v>719.96</v>
      </c>
      <c r="J219" s="2">
        <v>1</v>
      </c>
      <c r="K219" s="4">
        <v>46.7</v>
      </c>
    </row>
    <row r="220" spans="1:11" x14ac:dyDescent="0.3">
      <c r="A220" s="3">
        <v>45829</v>
      </c>
      <c r="B220" s="10">
        <f>YEAR(Table1[[#This Row],[Order Date]])</f>
        <v>2025</v>
      </c>
      <c r="C220" s="10">
        <f>MONTH(Table1[[#This Row],[Order Date]])</f>
        <v>6</v>
      </c>
      <c r="D220" s="2" t="s">
        <v>96</v>
      </c>
      <c r="E220" s="2" t="s">
        <v>18</v>
      </c>
      <c r="F220" s="2" t="s">
        <v>28</v>
      </c>
      <c r="G220" s="1" t="s">
        <v>137</v>
      </c>
      <c r="H220" s="2" t="s">
        <v>29</v>
      </c>
      <c r="I220" s="5">
        <v>752.57</v>
      </c>
      <c r="J220" s="2">
        <v>5</v>
      </c>
      <c r="K220" s="4">
        <v>209.75</v>
      </c>
    </row>
    <row r="221" spans="1:11" x14ac:dyDescent="0.3">
      <c r="A221" s="3">
        <v>45829</v>
      </c>
      <c r="B221" s="10">
        <f>YEAR(Table1[[#This Row],[Order Date]])</f>
        <v>2025</v>
      </c>
      <c r="C221" s="10">
        <f>MONTH(Table1[[#This Row],[Order Date]])</f>
        <v>6</v>
      </c>
      <c r="D221" s="2" t="s">
        <v>48</v>
      </c>
      <c r="E221" s="2" t="s">
        <v>18</v>
      </c>
      <c r="F221" s="2" t="s">
        <v>19</v>
      </c>
      <c r="G221" s="1" t="s">
        <v>136</v>
      </c>
      <c r="H221" s="2" t="s">
        <v>32</v>
      </c>
      <c r="I221" s="5">
        <v>1346.81</v>
      </c>
      <c r="J221" s="2">
        <v>3</v>
      </c>
      <c r="K221" s="4">
        <v>398.49</v>
      </c>
    </row>
    <row r="222" spans="1:11" x14ac:dyDescent="0.3">
      <c r="A222" s="3">
        <v>45830</v>
      </c>
      <c r="B222" s="10">
        <f>YEAR(Table1[[#This Row],[Order Date]])</f>
        <v>2025</v>
      </c>
      <c r="C222" s="10">
        <f>MONTH(Table1[[#This Row],[Order Date]])</f>
        <v>6</v>
      </c>
      <c r="D222" s="2" t="s">
        <v>55</v>
      </c>
      <c r="E222" s="2" t="s">
        <v>77</v>
      </c>
      <c r="F222" s="2" t="s">
        <v>28</v>
      </c>
      <c r="G222" s="1" t="s">
        <v>137</v>
      </c>
      <c r="H222" s="2" t="s">
        <v>73</v>
      </c>
      <c r="I222" s="5">
        <v>1360.64</v>
      </c>
      <c r="J222" s="2">
        <v>3</v>
      </c>
      <c r="K222" s="4">
        <v>252.69</v>
      </c>
    </row>
    <row r="223" spans="1:11" x14ac:dyDescent="0.3">
      <c r="A223" s="3">
        <v>45830</v>
      </c>
      <c r="B223" s="10">
        <f>YEAR(Table1[[#This Row],[Order Date]])</f>
        <v>2025</v>
      </c>
      <c r="C223" s="10">
        <f>MONTH(Table1[[#This Row],[Order Date]])</f>
        <v>6</v>
      </c>
      <c r="D223" s="2" t="s">
        <v>27</v>
      </c>
      <c r="E223" s="2" t="s">
        <v>22</v>
      </c>
      <c r="F223" s="2" t="s">
        <v>19</v>
      </c>
      <c r="G223" s="1" t="s">
        <v>136</v>
      </c>
      <c r="H223" s="2" t="s">
        <v>65</v>
      </c>
      <c r="I223" s="5">
        <v>1415.18</v>
      </c>
      <c r="J223" s="2">
        <v>4</v>
      </c>
      <c r="K223" s="4">
        <v>113.75</v>
      </c>
    </row>
    <row r="224" spans="1:11" x14ac:dyDescent="0.3">
      <c r="A224" s="3">
        <v>45830</v>
      </c>
      <c r="B224" s="10">
        <f>YEAR(Table1[[#This Row],[Order Date]])</f>
        <v>2025</v>
      </c>
      <c r="C224" s="10">
        <f>MONTH(Table1[[#This Row],[Order Date]])</f>
        <v>6</v>
      </c>
      <c r="D224" s="2" t="s">
        <v>71</v>
      </c>
      <c r="E224" s="2" t="s">
        <v>77</v>
      </c>
      <c r="F224" s="2" t="s">
        <v>19</v>
      </c>
      <c r="G224" s="1" t="s">
        <v>136</v>
      </c>
      <c r="H224" s="2" t="s">
        <v>40</v>
      </c>
      <c r="I224" s="5">
        <v>801.32</v>
      </c>
      <c r="J224" s="2">
        <v>4</v>
      </c>
      <c r="K224" s="4">
        <v>156.30000000000001</v>
      </c>
    </row>
    <row r="225" spans="1:11" x14ac:dyDescent="0.3">
      <c r="A225" s="3">
        <v>45831</v>
      </c>
      <c r="B225" s="10">
        <f>YEAR(Table1[[#This Row],[Order Date]])</f>
        <v>2025</v>
      </c>
      <c r="C225" s="10">
        <f>MONTH(Table1[[#This Row],[Order Date]])</f>
        <v>6</v>
      </c>
      <c r="D225" s="2" t="s">
        <v>68</v>
      </c>
      <c r="E225" s="2" t="s">
        <v>9</v>
      </c>
      <c r="F225" s="2" t="s">
        <v>10</v>
      </c>
      <c r="G225" s="1" t="s">
        <v>135</v>
      </c>
      <c r="H225" s="2" t="s">
        <v>13</v>
      </c>
      <c r="I225" s="5">
        <v>886.51</v>
      </c>
      <c r="J225" s="2">
        <v>1</v>
      </c>
      <c r="K225" s="4">
        <v>84.35</v>
      </c>
    </row>
    <row r="226" spans="1:11" x14ac:dyDescent="0.3">
      <c r="A226" s="3">
        <v>45831</v>
      </c>
      <c r="B226" s="10">
        <f>YEAR(Table1[[#This Row],[Order Date]])</f>
        <v>2025</v>
      </c>
      <c r="C226" s="10">
        <f>MONTH(Table1[[#This Row],[Order Date]])</f>
        <v>6</v>
      </c>
      <c r="D226" s="2" t="s">
        <v>86</v>
      </c>
      <c r="E226" s="2" t="s">
        <v>77</v>
      </c>
      <c r="F226" s="2" t="s">
        <v>19</v>
      </c>
      <c r="G226" s="1" t="s">
        <v>136</v>
      </c>
      <c r="H226" s="2" t="s">
        <v>32</v>
      </c>
      <c r="I226" s="5">
        <v>978.99</v>
      </c>
      <c r="J226" s="2">
        <v>2</v>
      </c>
      <c r="K226" s="4">
        <v>147.65</v>
      </c>
    </row>
    <row r="227" spans="1:11" x14ac:dyDescent="0.3">
      <c r="A227" s="3">
        <v>45832</v>
      </c>
      <c r="B227" s="10">
        <f>YEAR(Table1[[#This Row],[Order Date]])</f>
        <v>2025</v>
      </c>
      <c r="C227" s="10">
        <f>MONTH(Table1[[#This Row],[Order Date]])</f>
        <v>6</v>
      </c>
      <c r="D227" s="2" t="s">
        <v>83</v>
      </c>
      <c r="E227" s="2" t="s">
        <v>37</v>
      </c>
      <c r="F227" s="2" t="s">
        <v>19</v>
      </c>
      <c r="G227" s="1" t="s">
        <v>136</v>
      </c>
      <c r="H227" s="2" t="s">
        <v>65</v>
      </c>
      <c r="I227" s="5">
        <v>139.51</v>
      </c>
      <c r="J227" s="2">
        <v>2</v>
      </c>
      <c r="K227" s="4">
        <v>26.43</v>
      </c>
    </row>
    <row r="228" spans="1:11" x14ac:dyDescent="0.3">
      <c r="A228" s="3">
        <v>45832</v>
      </c>
      <c r="B228" s="10">
        <f>YEAR(Table1[[#This Row],[Order Date]])</f>
        <v>2025</v>
      </c>
      <c r="C228" s="10">
        <f>MONTH(Table1[[#This Row],[Order Date]])</f>
        <v>6</v>
      </c>
      <c r="D228" s="2" t="s">
        <v>74</v>
      </c>
      <c r="E228" s="2" t="s">
        <v>9</v>
      </c>
      <c r="F228" s="2" t="s">
        <v>28</v>
      </c>
      <c r="G228" s="1" t="s">
        <v>137</v>
      </c>
      <c r="H228" s="2" t="s">
        <v>69</v>
      </c>
      <c r="I228" s="5">
        <v>99.61</v>
      </c>
      <c r="J228" s="2">
        <v>4</v>
      </c>
      <c r="K228" s="4">
        <v>7.19</v>
      </c>
    </row>
    <row r="229" spans="1:11" x14ac:dyDescent="0.3">
      <c r="A229" s="3">
        <v>45834</v>
      </c>
      <c r="B229" s="10">
        <f>YEAR(Table1[[#This Row],[Order Date]])</f>
        <v>2025</v>
      </c>
      <c r="C229" s="10">
        <f>MONTH(Table1[[#This Row],[Order Date]])</f>
        <v>6</v>
      </c>
      <c r="D229" s="2" t="s">
        <v>41</v>
      </c>
      <c r="E229" s="2" t="s">
        <v>25</v>
      </c>
      <c r="F229" s="2" t="s">
        <v>19</v>
      </c>
      <c r="G229" s="1" t="s">
        <v>136</v>
      </c>
      <c r="H229" s="2" t="s">
        <v>20</v>
      </c>
      <c r="I229" s="5">
        <v>451.45</v>
      </c>
      <c r="J229" s="2">
        <v>5</v>
      </c>
      <c r="K229" s="4">
        <v>30.99</v>
      </c>
    </row>
    <row r="230" spans="1:11" x14ac:dyDescent="0.3">
      <c r="A230" s="3">
        <v>45834</v>
      </c>
      <c r="B230" s="10">
        <f>YEAR(Table1[[#This Row],[Order Date]])</f>
        <v>2025</v>
      </c>
      <c r="C230" s="10">
        <f>MONTH(Table1[[#This Row],[Order Date]])</f>
        <v>6</v>
      </c>
      <c r="D230" s="2" t="s">
        <v>75</v>
      </c>
      <c r="E230" s="2" t="s">
        <v>18</v>
      </c>
      <c r="F230" s="2" t="s">
        <v>28</v>
      </c>
      <c r="G230" s="1" t="s">
        <v>137</v>
      </c>
      <c r="H230" s="2" t="s">
        <v>29</v>
      </c>
      <c r="I230" s="5">
        <v>511.19</v>
      </c>
      <c r="J230" s="2">
        <v>4</v>
      </c>
      <c r="K230" s="4">
        <v>119.82</v>
      </c>
    </row>
    <row r="231" spans="1:11" x14ac:dyDescent="0.3">
      <c r="A231" s="3">
        <v>45834</v>
      </c>
      <c r="B231" s="10">
        <f>YEAR(Table1[[#This Row],[Order Date]])</f>
        <v>2025</v>
      </c>
      <c r="C231" s="10">
        <f>MONTH(Table1[[#This Row],[Order Date]])</f>
        <v>6</v>
      </c>
      <c r="D231" s="2" t="s">
        <v>96</v>
      </c>
      <c r="E231" s="2" t="s">
        <v>15</v>
      </c>
      <c r="F231" s="2" t="s">
        <v>28</v>
      </c>
      <c r="G231" s="1" t="s">
        <v>137</v>
      </c>
      <c r="H231" s="2" t="s">
        <v>29</v>
      </c>
      <c r="I231" s="5">
        <v>269.10000000000002</v>
      </c>
      <c r="J231" s="2">
        <v>2</v>
      </c>
      <c r="K231" s="4">
        <v>48.12</v>
      </c>
    </row>
    <row r="232" spans="1:11" x14ac:dyDescent="0.3">
      <c r="A232" s="3">
        <v>45835</v>
      </c>
      <c r="B232" s="10">
        <f>YEAR(Table1[[#This Row],[Order Date]])</f>
        <v>2025</v>
      </c>
      <c r="C232" s="10">
        <f>MONTH(Table1[[#This Row],[Order Date]])</f>
        <v>6</v>
      </c>
      <c r="D232" s="2" t="s">
        <v>79</v>
      </c>
      <c r="E232" s="2" t="s">
        <v>18</v>
      </c>
      <c r="F232" s="2" t="s">
        <v>28</v>
      </c>
      <c r="G232" s="1" t="s">
        <v>137</v>
      </c>
      <c r="H232" s="2" t="s">
        <v>69</v>
      </c>
      <c r="I232" s="5">
        <v>568.16999999999996</v>
      </c>
      <c r="J232" s="2">
        <v>2</v>
      </c>
      <c r="K232" s="4">
        <v>161</v>
      </c>
    </row>
    <row r="233" spans="1:11" x14ac:dyDescent="0.3">
      <c r="A233" s="3">
        <v>45835</v>
      </c>
      <c r="B233" s="10">
        <f>YEAR(Table1[[#This Row],[Order Date]])</f>
        <v>2025</v>
      </c>
      <c r="C233" s="10">
        <f>MONTH(Table1[[#This Row],[Order Date]])</f>
        <v>6</v>
      </c>
      <c r="D233" s="2" t="s">
        <v>132</v>
      </c>
      <c r="E233" s="2" t="s">
        <v>77</v>
      </c>
      <c r="F233" s="2" t="s">
        <v>28</v>
      </c>
      <c r="G233" s="1" t="s">
        <v>137</v>
      </c>
      <c r="H233" s="2" t="s">
        <v>35</v>
      </c>
      <c r="I233" s="5">
        <v>732.2</v>
      </c>
      <c r="J233" s="2">
        <v>5</v>
      </c>
      <c r="K233" s="4">
        <v>62.41</v>
      </c>
    </row>
    <row r="234" spans="1:11" x14ac:dyDescent="0.3">
      <c r="A234" s="3">
        <v>45835</v>
      </c>
      <c r="B234" s="10">
        <f>YEAR(Table1[[#This Row],[Order Date]])</f>
        <v>2025</v>
      </c>
      <c r="C234" s="10">
        <f>MONTH(Table1[[#This Row],[Order Date]])</f>
        <v>6</v>
      </c>
      <c r="D234" s="2" t="s">
        <v>60</v>
      </c>
      <c r="E234" s="2" t="s">
        <v>9</v>
      </c>
      <c r="F234" s="2" t="s">
        <v>19</v>
      </c>
      <c r="G234" s="1" t="s">
        <v>136</v>
      </c>
      <c r="H234" s="2" t="s">
        <v>20</v>
      </c>
      <c r="I234" s="5">
        <v>1069.22</v>
      </c>
      <c r="J234" s="2">
        <v>3</v>
      </c>
      <c r="K234" s="4">
        <v>88.84</v>
      </c>
    </row>
    <row r="235" spans="1:11" x14ac:dyDescent="0.3">
      <c r="A235" s="3">
        <v>45836</v>
      </c>
      <c r="B235" s="10">
        <f>YEAR(Table1[[#This Row],[Order Date]])</f>
        <v>2025</v>
      </c>
      <c r="C235" s="10">
        <f>MONTH(Table1[[#This Row],[Order Date]])</f>
        <v>6</v>
      </c>
      <c r="D235" s="2" t="s">
        <v>123</v>
      </c>
      <c r="E235" s="2" t="s">
        <v>9</v>
      </c>
      <c r="F235" s="2" t="s">
        <v>28</v>
      </c>
      <c r="G235" s="1" t="s">
        <v>137</v>
      </c>
      <c r="H235" s="2" t="s">
        <v>73</v>
      </c>
      <c r="I235" s="5">
        <v>963.6</v>
      </c>
      <c r="J235" s="2">
        <v>3</v>
      </c>
      <c r="K235" s="4">
        <v>157.11000000000001</v>
      </c>
    </row>
    <row r="236" spans="1:11" x14ac:dyDescent="0.3">
      <c r="A236" s="3">
        <v>45836</v>
      </c>
      <c r="B236" s="10">
        <f>YEAR(Table1[[#This Row],[Order Date]])</f>
        <v>2025</v>
      </c>
      <c r="C236" s="10">
        <f>MONTH(Table1[[#This Row],[Order Date]])</f>
        <v>6</v>
      </c>
      <c r="D236" s="2" t="s">
        <v>66</v>
      </c>
      <c r="E236" s="2" t="s">
        <v>9</v>
      </c>
      <c r="F236" s="2" t="s">
        <v>28</v>
      </c>
      <c r="G236" s="1" t="s">
        <v>137</v>
      </c>
      <c r="H236" s="2" t="s">
        <v>35</v>
      </c>
      <c r="I236" s="5">
        <v>292.64999999999998</v>
      </c>
      <c r="J236" s="2">
        <v>5</v>
      </c>
      <c r="K236" s="4">
        <v>30.38</v>
      </c>
    </row>
    <row r="237" spans="1:11" x14ac:dyDescent="0.3">
      <c r="A237" s="3">
        <v>45837</v>
      </c>
      <c r="B237" s="10">
        <f>YEAR(Table1[[#This Row],[Order Date]])</f>
        <v>2025</v>
      </c>
      <c r="C237" s="10">
        <f>MONTH(Table1[[#This Row],[Order Date]])</f>
        <v>6</v>
      </c>
      <c r="D237" s="2" t="s">
        <v>50</v>
      </c>
      <c r="E237" s="2" t="s">
        <v>15</v>
      </c>
      <c r="F237" s="2" t="s">
        <v>10</v>
      </c>
      <c r="G237" s="1" t="s">
        <v>135</v>
      </c>
      <c r="H237" s="2" t="s">
        <v>23</v>
      </c>
      <c r="I237" s="5">
        <v>1343.86</v>
      </c>
      <c r="J237" s="2">
        <v>3</v>
      </c>
      <c r="K237" s="4">
        <v>245.96</v>
      </c>
    </row>
    <row r="238" spans="1:11" x14ac:dyDescent="0.3">
      <c r="A238" s="3">
        <v>45838</v>
      </c>
      <c r="B238" s="10">
        <f>YEAR(Table1[[#This Row],[Order Date]])</f>
        <v>2025</v>
      </c>
      <c r="C238" s="10">
        <f>MONTH(Table1[[#This Row],[Order Date]])</f>
        <v>6</v>
      </c>
      <c r="D238" s="2" t="s">
        <v>43</v>
      </c>
      <c r="E238" s="2" t="s">
        <v>34</v>
      </c>
      <c r="F238" s="2" t="s">
        <v>10</v>
      </c>
      <c r="G238" s="1" t="s">
        <v>135</v>
      </c>
      <c r="H238" s="2" t="s">
        <v>23</v>
      </c>
      <c r="I238" s="5">
        <v>1159.19</v>
      </c>
      <c r="J238" s="2">
        <v>5</v>
      </c>
      <c r="K238" s="4">
        <v>326.39999999999998</v>
      </c>
    </row>
    <row r="239" spans="1:11" x14ac:dyDescent="0.3">
      <c r="A239" s="3">
        <v>45838</v>
      </c>
      <c r="B239" s="10">
        <f>YEAR(Table1[[#This Row],[Order Date]])</f>
        <v>2025</v>
      </c>
      <c r="C239" s="10">
        <f>MONTH(Table1[[#This Row],[Order Date]])</f>
        <v>6</v>
      </c>
      <c r="D239" s="2" t="s">
        <v>106</v>
      </c>
      <c r="E239" s="2" t="s">
        <v>9</v>
      </c>
      <c r="F239" s="2" t="s">
        <v>19</v>
      </c>
      <c r="G239" s="1" t="s">
        <v>136</v>
      </c>
      <c r="H239" s="2" t="s">
        <v>32</v>
      </c>
      <c r="I239" s="5">
        <v>250.89</v>
      </c>
      <c r="J239" s="2">
        <v>2</v>
      </c>
      <c r="K239" s="4">
        <v>53.52</v>
      </c>
    </row>
    <row r="240" spans="1:11" x14ac:dyDescent="0.3">
      <c r="A240" s="3">
        <v>45838</v>
      </c>
      <c r="B240" s="10">
        <f>YEAR(Table1[[#This Row],[Order Date]])</f>
        <v>2025</v>
      </c>
      <c r="C240" s="10">
        <f>MONTH(Table1[[#This Row],[Order Date]])</f>
        <v>6</v>
      </c>
      <c r="D240" s="2" t="s">
        <v>43</v>
      </c>
      <c r="E240" s="2" t="s">
        <v>15</v>
      </c>
      <c r="F240" s="2" t="s">
        <v>10</v>
      </c>
      <c r="G240" s="1" t="s">
        <v>135</v>
      </c>
      <c r="H240" s="2" t="s">
        <v>16</v>
      </c>
      <c r="I240" s="5">
        <v>229.7</v>
      </c>
      <c r="J240" s="2">
        <v>1</v>
      </c>
      <c r="K240" s="4">
        <v>36.409999999999997</v>
      </c>
    </row>
    <row r="241" spans="1:11" x14ac:dyDescent="0.3">
      <c r="A241" s="3">
        <v>45839</v>
      </c>
      <c r="B241" s="10">
        <f>YEAR(Table1[[#This Row],[Order Date]])</f>
        <v>2025</v>
      </c>
      <c r="C241" s="10">
        <f>MONTH(Table1[[#This Row],[Order Date]])</f>
        <v>7</v>
      </c>
      <c r="D241" s="2" t="s">
        <v>27</v>
      </c>
      <c r="E241" s="2" t="s">
        <v>22</v>
      </c>
      <c r="F241" s="2" t="s">
        <v>19</v>
      </c>
      <c r="G241" s="1" t="s">
        <v>136</v>
      </c>
      <c r="H241" s="2" t="s">
        <v>45</v>
      </c>
      <c r="I241" s="5">
        <v>46.63</v>
      </c>
      <c r="J241" s="2">
        <v>3</v>
      </c>
      <c r="K241" s="4">
        <v>11.91</v>
      </c>
    </row>
    <row r="242" spans="1:11" x14ac:dyDescent="0.3">
      <c r="A242" s="3">
        <v>45842</v>
      </c>
      <c r="B242" s="10">
        <f>YEAR(Table1[[#This Row],[Order Date]])</f>
        <v>2025</v>
      </c>
      <c r="C242" s="10">
        <f>MONTH(Table1[[#This Row],[Order Date]])</f>
        <v>7</v>
      </c>
      <c r="D242" s="2" t="s">
        <v>85</v>
      </c>
      <c r="E242" s="2" t="s">
        <v>77</v>
      </c>
      <c r="F242" s="2" t="s">
        <v>28</v>
      </c>
      <c r="G242" s="1" t="s">
        <v>137</v>
      </c>
      <c r="H242" s="2" t="s">
        <v>69</v>
      </c>
      <c r="I242" s="5">
        <v>862.92</v>
      </c>
      <c r="J242" s="2">
        <v>1</v>
      </c>
      <c r="K242" s="4">
        <v>159.30000000000001</v>
      </c>
    </row>
    <row r="243" spans="1:11" x14ac:dyDescent="0.3">
      <c r="A243" s="3">
        <v>45842</v>
      </c>
      <c r="B243" s="10">
        <f>YEAR(Table1[[#This Row],[Order Date]])</f>
        <v>2025</v>
      </c>
      <c r="C243" s="10">
        <f>MONTH(Table1[[#This Row],[Order Date]])</f>
        <v>7</v>
      </c>
      <c r="D243" s="2" t="s">
        <v>99</v>
      </c>
      <c r="E243" s="2" t="s">
        <v>9</v>
      </c>
      <c r="F243" s="2" t="s">
        <v>10</v>
      </c>
      <c r="G243" s="1" t="s">
        <v>135</v>
      </c>
      <c r="H243" s="2" t="s">
        <v>23</v>
      </c>
      <c r="I243" s="5">
        <v>248.44</v>
      </c>
      <c r="J243" s="2">
        <v>2</v>
      </c>
      <c r="K243" s="4">
        <v>31.88</v>
      </c>
    </row>
    <row r="244" spans="1:11" x14ac:dyDescent="0.3">
      <c r="A244" s="3">
        <v>45843</v>
      </c>
      <c r="B244" s="10">
        <f>YEAR(Table1[[#This Row],[Order Date]])</f>
        <v>2025</v>
      </c>
      <c r="C244" s="10">
        <f>MONTH(Table1[[#This Row],[Order Date]])</f>
        <v>7</v>
      </c>
      <c r="D244" s="2" t="s">
        <v>92</v>
      </c>
      <c r="E244" s="2" t="s">
        <v>39</v>
      </c>
      <c r="F244" s="2" t="s">
        <v>19</v>
      </c>
      <c r="G244" s="1" t="s">
        <v>136</v>
      </c>
      <c r="H244" s="2" t="s">
        <v>32</v>
      </c>
      <c r="I244" s="5">
        <v>158.97999999999999</v>
      </c>
      <c r="J244" s="2">
        <v>4</v>
      </c>
      <c r="K244" s="4">
        <v>8.3800000000000008</v>
      </c>
    </row>
    <row r="245" spans="1:11" x14ac:dyDescent="0.3">
      <c r="A245" s="3">
        <v>45843</v>
      </c>
      <c r="B245" s="10">
        <f>YEAR(Table1[[#This Row],[Order Date]])</f>
        <v>2025</v>
      </c>
      <c r="C245" s="10">
        <f>MONTH(Table1[[#This Row],[Order Date]])</f>
        <v>7</v>
      </c>
      <c r="D245" s="2" t="s">
        <v>27</v>
      </c>
      <c r="E245" s="2" t="s">
        <v>18</v>
      </c>
      <c r="F245" s="2" t="s">
        <v>19</v>
      </c>
      <c r="G245" s="1" t="s">
        <v>136</v>
      </c>
      <c r="H245" s="2" t="s">
        <v>32</v>
      </c>
      <c r="I245" s="5">
        <v>1398.7</v>
      </c>
      <c r="J245" s="2">
        <v>5</v>
      </c>
      <c r="K245" s="4">
        <v>256.17</v>
      </c>
    </row>
    <row r="246" spans="1:11" x14ac:dyDescent="0.3">
      <c r="A246" s="3">
        <v>45843</v>
      </c>
      <c r="B246" s="10">
        <f>YEAR(Table1[[#This Row],[Order Date]])</f>
        <v>2025</v>
      </c>
      <c r="C246" s="10">
        <f>MONTH(Table1[[#This Row],[Order Date]])</f>
        <v>7</v>
      </c>
      <c r="D246" s="2" t="s">
        <v>118</v>
      </c>
      <c r="E246" s="2" t="s">
        <v>77</v>
      </c>
      <c r="F246" s="2" t="s">
        <v>10</v>
      </c>
      <c r="G246" s="1" t="s">
        <v>135</v>
      </c>
      <c r="H246" s="2" t="s">
        <v>23</v>
      </c>
      <c r="I246" s="5">
        <v>166.35</v>
      </c>
      <c r="J246" s="2">
        <v>1</v>
      </c>
      <c r="K246" s="4">
        <v>12.59</v>
      </c>
    </row>
    <row r="247" spans="1:11" x14ac:dyDescent="0.3">
      <c r="A247" s="3">
        <v>45843</v>
      </c>
      <c r="B247" s="10">
        <f>YEAR(Table1[[#This Row],[Order Date]])</f>
        <v>2025</v>
      </c>
      <c r="C247" s="10">
        <f>MONTH(Table1[[#This Row],[Order Date]])</f>
        <v>7</v>
      </c>
      <c r="D247" s="2" t="s">
        <v>116</v>
      </c>
      <c r="E247" s="2" t="s">
        <v>37</v>
      </c>
      <c r="F247" s="2" t="s">
        <v>19</v>
      </c>
      <c r="G247" s="1" t="s">
        <v>136</v>
      </c>
      <c r="H247" s="2" t="s">
        <v>45</v>
      </c>
      <c r="I247" s="5">
        <v>259.37</v>
      </c>
      <c r="J247" s="2">
        <v>2</v>
      </c>
      <c r="K247" s="4">
        <v>44.46</v>
      </c>
    </row>
    <row r="248" spans="1:11" x14ac:dyDescent="0.3">
      <c r="A248" s="3">
        <v>45845</v>
      </c>
      <c r="B248" s="10">
        <f>YEAR(Table1[[#This Row],[Order Date]])</f>
        <v>2025</v>
      </c>
      <c r="C248" s="10">
        <f>MONTH(Table1[[#This Row],[Order Date]])</f>
        <v>7</v>
      </c>
      <c r="D248" s="2" t="s">
        <v>43</v>
      </c>
      <c r="E248" s="2" t="s">
        <v>9</v>
      </c>
      <c r="F248" s="2" t="s">
        <v>28</v>
      </c>
      <c r="G248" s="1" t="s">
        <v>137</v>
      </c>
      <c r="H248" s="2" t="s">
        <v>73</v>
      </c>
      <c r="I248" s="5">
        <v>1049.53</v>
      </c>
      <c r="J248" s="2">
        <v>3</v>
      </c>
      <c r="K248" s="4">
        <v>130.86000000000001</v>
      </c>
    </row>
    <row r="249" spans="1:11" x14ac:dyDescent="0.3">
      <c r="A249" s="3">
        <v>45847</v>
      </c>
      <c r="B249" s="10">
        <f>YEAR(Table1[[#This Row],[Order Date]])</f>
        <v>2025</v>
      </c>
      <c r="C249" s="10">
        <f>MONTH(Table1[[#This Row],[Order Date]])</f>
        <v>7</v>
      </c>
      <c r="D249" s="2" t="s">
        <v>48</v>
      </c>
      <c r="E249" s="2" t="s">
        <v>22</v>
      </c>
      <c r="F249" s="2" t="s">
        <v>10</v>
      </c>
      <c r="G249" s="1" t="s">
        <v>135</v>
      </c>
      <c r="H249" s="2" t="s">
        <v>49</v>
      </c>
      <c r="I249" s="5">
        <v>1068.8900000000001</v>
      </c>
      <c r="J249" s="2">
        <v>2</v>
      </c>
      <c r="K249" s="4">
        <v>60.24</v>
      </c>
    </row>
    <row r="250" spans="1:11" x14ac:dyDescent="0.3">
      <c r="A250" s="3">
        <v>45847</v>
      </c>
      <c r="B250" s="10">
        <f>YEAR(Table1[[#This Row],[Order Date]])</f>
        <v>2025</v>
      </c>
      <c r="C250" s="10">
        <f>MONTH(Table1[[#This Row],[Order Date]])</f>
        <v>7</v>
      </c>
      <c r="D250" s="2" t="s">
        <v>42</v>
      </c>
      <c r="E250" s="2" t="s">
        <v>25</v>
      </c>
      <c r="F250" s="2" t="s">
        <v>10</v>
      </c>
      <c r="G250" s="1" t="s">
        <v>135</v>
      </c>
      <c r="H250" s="2" t="s">
        <v>49</v>
      </c>
      <c r="I250" s="5">
        <v>986.37</v>
      </c>
      <c r="J250" s="2">
        <v>1</v>
      </c>
      <c r="K250" s="4">
        <v>255.73</v>
      </c>
    </row>
    <row r="251" spans="1:11" x14ac:dyDescent="0.3">
      <c r="A251" s="3">
        <v>45848</v>
      </c>
      <c r="B251" s="10">
        <f>YEAR(Table1[[#This Row],[Order Date]])</f>
        <v>2025</v>
      </c>
      <c r="C251" s="10">
        <f>MONTH(Table1[[#This Row],[Order Date]])</f>
        <v>7</v>
      </c>
      <c r="D251" s="2" t="s">
        <v>61</v>
      </c>
      <c r="E251" s="2" t="s">
        <v>31</v>
      </c>
      <c r="F251" s="2" t="s">
        <v>28</v>
      </c>
      <c r="G251" s="1" t="s">
        <v>137</v>
      </c>
      <c r="H251" s="2" t="s">
        <v>35</v>
      </c>
      <c r="I251" s="5">
        <v>492.28</v>
      </c>
      <c r="J251" s="2">
        <v>3</v>
      </c>
      <c r="K251" s="4">
        <v>49.17</v>
      </c>
    </row>
    <row r="252" spans="1:11" x14ac:dyDescent="0.3">
      <c r="A252" s="3">
        <v>45848</v>
      </c>
      <c r="B252" s="10">
        <f>YEAR(Table1[[#This Row],[Order Date]])</f>
        <v>2025</v>
      </c>
      <c r="C252" s="10">
        <f>MONTH(Table1[[#This Row],[Order Date]])</f>
        <v>7</v>
      </c>
      <c r="D252" s="2" t="s">
        <v>46</v>
      </c>
      <c r="E252" s="2" t="s">
        <v>9</v>
      </c>
      <c r="F252" s="2" t="s">
        <v>19</v>
      </c>
      <c r="G252" s="1" t="s">
        <v>136</v>
      </c>
      <c r="H252" s="2" t="s">
        <v>32</v>
      </c>
      <c r="I252" s="5">
        <v>891</v>
      </c>
      <c r="J252" s="2">
        <v>5</v>
      </c>
      <c r="K252" s="4">
        <v>129.04</v>
      </c>
    </row>
    <row r="253" spans="1:11" x14ac:dyDescent="0.3">
      <c r="A253" s="3">
        <v>45848</v>
      </c>
      <c r="B253" s="10">
        <f>YEAR(Table1[[#This Row],[Order Date]])</f>
        <v>2025</v>
      </c>
      <c r="C253" s="10">
        <f>MONTH(Table1[[#This Row],[Order Date]])</f>
        <v>7</v>
      </c>
      <c r="D253" s="2" t="s">
        <v>98</v>
      </c>
      <c r="E253" s="2" t="s">
        <v>39</v>
      </c>
      <c r="F253" s="2" t="s">
        <v>10</v>
      </c>
      <c r="G253" s="1" t="s">
        <v>135</v>
      </c>
      <c r="H253" s="2" t="s">
        <v>16</v>
      </c>
      <c r="I253" s="5">
        <v>87.86</v>
      </c>
      <c r="J253" s="2">
        <v>4</v>
      </c>
      <c r="K253" s="4">
        <v>21.7</v>
      </c>
    </row>
    <row r="254" spans="1:11" x14ac:dyDescent="0.3">
      <c r="A254" s="3">
        <v>45849</v>
      </c>
      <c r="B254" s="10">
        <f>YEAR(Table1[[#This Row],[Order Date]])</f>
        <v>2025</v>
      </c>
      <c r="C254" s="10">
        <f>MONTH(Table1[[#This Row],[Order Date]])</f>
        <v>7</v>
      </c>
      <c r="D254" s="2" t="s">
        <v>71</v>
      </c>
      <c r="E254" s="2" t="s">
        <v>77</v>
      </c>
      <c r="F254" s="2" t="s">
        <v>10</v>
      </c>
      <c r="G254" s="1" t="s">
        <v>135</v>
      </c>
      <c r="H254" s="2" t="s">
        <v>16</v>
      </c>
      <c r="I254" s="5">
        <v>255.41</v>
      </c>
      <c r="J254" s="2">
        <v>4</v>
      </c>
      <c r="K254" s="4">
        <v>61.09</v>
      </c>
    </row>
    <row r="255" spans="1:11" x14ac:dyDescent="0.3">
      <c r="A255" s="3">
        <v>45850</v>
      </c>
      <c r="B255" s="10">
        <f>YEAR(Table1[[#This Row],[Order Date]])</f>
        <v>2025</v>
      </c>
      <c r="C255" s="10">
        <f>MONTH(Table1[[#This Row],[Order Date]])</f>
        <v>7</v>
      </c>
      <c r="D255" s="2" t="s">
        <v>90</v>
      </c>
      <c r="E255" s="2" t="s">
        <v>25</v>
      </c>
      <c r="F255" s="2" t="s">
        <v>10</v>
      </c>
      <c r="G255" s="1" t="s">
        <v>135</v>
      </c>
      <c r="H255" s="2" t="s">
        <v>16</v>
      </c>
      <c r="I255" s="5">
        <v>1322.5</v>
      </c>
      <c r="J255" s="2">
        <v>2</v>
      </c>
      <c r="K255" s="4">
        <v>220.02</v>
      </c>
    </row>
    <row r="256" spans="1:11" x14ac:dyDescent="0.3">
      <c r="A256" s="3">
        <v>45850</v>
      </c>
      <c r="B256" s="10">
        <f>YEAR(Table1[[#This Row],[Order Date]])</f>
        <v>2025</v>
      </c>
      <c r="C256" s="10">
        <f>MONTH(Table1[[#This Row],[Order Date]])</f>
        <v>7</v>
      </c>
      <c r="D256" s="2" t="s">
        <v>112</v>
      </c>
      <c r="E256" s="2" t="s">
        <v>22</v>
      </c>
      <c r="F256" s="2" t="s">
        <v>19</v>
      </c>
      <c r="G256" s="1" t="s">
        <v>136</v>
      </c>
      <c r="H256" s="2" t="s">
        <v>40</v>
      </c>
      <c r="I256" s="5">
        <v>817.14</v>
      </c>
      <c r="J256" s="2">
        <v>5</v>
      </c>
      <c r="K256" s="4">
        <v>211.16</v>
      </c>
    </row>
    <row r="257" spans="1:11" x14ac:dyDescent="0.3">
      <c r="A257" s="3">
        <v>45851</v>
      </c>
      <c r="B257" s="10">
        <f>YEAR(Table1[[#This Row],[Order Date]])</f>
        <v>2025</v>
      </c>
      <c r="C257" s="10">
        <f>MONTH(Table1[[#This Row],[Order Date]])</f>
        <v>7</v>
      </c>
      <c r="D257" s="2" t="s">
        <v>54</v>
      </c>
      <c r="E257" s="2" t="s">
        <v>9</v>
      </c>
      <c r="F257" s="2" t="s">
        <v>19</v>
      </c>
      <c r="G257" s="1" t="s">
        <v>136</v>
      </c>
      <c r="H257" s="2" t="s">
        <v>20</v>
      </c>
      <c r="I257" s="5">
        <v>464.12</v>
      </c>
      <c r="J257" s="2">
        <v>3</v>
      </c>
      <c r="K257" s="4">
        <v>71.64</v>
      </c>
    </row>
    <row r="258" spans="1:11" x14ac:dyDescent="0.3">
      <c r="A258" s="3">
        <v>45853</v>
      </c>
      <c r="B258" s="10">
        <f>YEAR(Table1[[#This Row],[Order Date]])</f>
        <v>2025</v>
      </c>
      <c r="C258" s="10">
        <f>MONTH(Table1[[#This Row],[Order Date]])</f>
        <v>7</v>
      </c>
      <c r="D258" s="2" t="s">
        <v>56</v>
      </c>
      <c r="E258" s="2" t="s">
        <v>25</v>
      </c>
      <c r="F258" s="2" t="s">
        <v>10</v>
      </c>
      <c r="G258" s="1" t="s">
        <v>135</v>
      </c>
      <c r="H258" s="2" t="s">
        <v>13</v>
      </c>
      <c r="I258" s="5">
        <v>1301.94</v>
      </c>
      <c r="J258" s="2">
        <v>5</v>
      </c>
      <c r="K258" s="4">
        <v>91.65</v>
      </c>
    </row>
    <row r="259" spans="1:11" x14ac:dyDescent="0.3">
      <c r="A259" s="3">
        <v>45856</v>
      </c>
      <c r="B259" s="10">
        <f>YEAR(Table1[[#This Row],[Order Date]])</f>
        <v>2025</v>
      </c>
      <c r="C259" s="10">
        <f>MONTH(Table1[[#This Row],[Order Date]])</f>
        <v>7</v>
      </c>
      <c r="D259" s="2" t="s">
        <v>42</v>
      </c>
      <c r="E259" s="2" t="s">
        <v>37</v>
      </c>
      <c r="F259" s="2" t="s">
        <v>19</v>
      </c>
      <c r="G259" s="1" t="s">
        <v>136</v>
      </c>
      <c r="H259" s="2" t="s">
        <v>20</v>
      </c>
      <c r="I259" s="5">
        <v>306.08999999999997</v>
      </c>
      <c r="J259" s="2">
        <v>3</v>
      </c>
      <c r="K259" s="4">
        <v>30.52</v>
      </c>
    </row>
    <row r="260" spans="1:11" x14ac:dyDescent="0.3">
      <c r="A260" s="3">
        <v>45856</v>
      </c>
      <c r="B260" s="10">
        <f>YEAR(Table1[[#This Row],[Order Date]])</f>
        <v>2025</v>
      </c>
      <c r="C260" s="10">
        <f>MONTH(Table1[[#This Row],[Order Date]])</f>
        <v>7</v>
      </c>
      <c r="D260" s="2" t="s">
        <v>52</v>
      </c>
      <c r="E260" s="2" t="s">
        <v>34</v>
      </c>
      <c r="F260" s="2" t="s">
        <v>19</v>
      </c>
      <c r="G260" s="1" t="s">
        <v>136</v>
      </c>
      <c r="H260" s="2" t="s">
        <v>45</v>
      </c>
      <c r="I260" s="5">
        <v>1207.47</v>
      </c>
      <c r="J260" s="2">
        <v>4</v>
      </c>
      <c r="K260" s="4">
        <v>186.1</v>
      </c>
    </row>
    <row r="261" spans="1:11" x14ac:dyDescent="0.3">
      <c r="A261" s="3">
        <v>45856</v>
      </c>
      <c r="B261" s="10">
        <f>YEAR(Table1[[#This Row],[Order Date]])</f>
        <v>2025</v>
      </c>
      <c r="C261" s="10">
        <f>MONTH(Table1[[#This Row],[Order Date]])</f>
        <v>7</v>
      </c>
      <c r="D261" s="2" t="s">
        <v>59</v>
      </c>
      <c r="E261" s="2" t="s">
        <v>18</v>
      </c>
      <c r="F261" s="2" t="s">
        <v>28</v>
      </c>
      <c r="G261" s="1" t="s">
        <v>137</v>
      </c>
      <c r="H261" s="2" t="s">
        <v>35</v>
      </c>
      <c r="I261" s="5">
        <v>622.45000000000005</v>
      </c>
      <c r="J261" s="2">
        <v>5</v>
      </c>
      <c r="K261" s="4">
        <v>84.82</v>
      </c>
    </row>
    <row r="262" spans="1:11" x14ac:dyDescent="0.3">
      <c r="A262" s="3">
        <v>45856</v>
      </c>
      <c r="B262" s="10">
        <f>YEAR(Table1[[#This Row],[Order Date]])</f>
        <v>2025</v>
      </c>
      <c r="C262" s="10">
        <f>MONTH(Table1[[#This Row],[Order Date]])</f>
        <v>7</v>
      </c>
      <c r="D262" s="2" t="s">
        <v>80</v>
      </c>
      <c r="E262" s="2" t="s">
        <v>37</v>
      </c>
      <c r="F262" s="2" t="s">
        <v>10</v>
      </c>
      <c r="G262" s="1" t="s">
        <v>135</v>
      </c>
      <c r="H262" s="2" t="s">
        <v>11</v>
      </c>
      <c r="I262" s="5">
        <v>189.64</v>
      </c>
      <c r="J262" s="2">
        <v>2</v>
      </c>
      <c r="K262" s="4">
        <v>51.44</v>
      </c>
    </row>
    <row r="263" spans="1:11" x14ac:dyDescent="0.3">
      <c r="A263" s="3">
        <v>45857</v>
      </c>
      <c r="B263" s="10">
        <f>YEAR(Table1[[#This Row],[Order Date]])</f>
        <v>2025</v>
      </c>
      <c r="C263" s="10">
        <f>MONTH(Table1[[#This Row],[Order Date]])</f>
        <v>7</v>
      </c>
      <c r="D263" s="2" t="s">
        <v>72</v>
      </c>
      <c r="E263" s="2" t="s">
        <v>9</v>
      </c>
      <c r="F263" s="2" t="s">
        <v>28</v>
      </c>
      <c r="G263" s="1" t="s">
        <v>137</v>
      </c>
      <c r="H263" s="2" t="s">
        <v>73</v>
      </c>
      <c r="I263" s="5">
        <v>735.25</v>
      </c>
      <c r="J263" s="2">
        <v>3</v>
      </c>
      <c r="K263" s="4">
        <v>116.61</v>
      </c>
    </row>
    <row r="264" spans="1:11" x14ac:dyDescent="0.3">
      <c r="A264" s="3">
        <v>45857</v>
      </c>
      <c r="B264" s="10">
        <f>YEAR(Table1[[#This Row],[Order Date]])</f>
        <v>2025</v>
      </c>
      <c r="C264" s="10">
        <f>MONTH(Table1[[#This Row],[Order Date]])</f>
        <v>7</v>
      </c>
      <c r="D264" s="2" t="s">
        <v>48</v>
      </c>
      <c r="E264" s="2" t="s">
        <v>25</v>
      </c>
      <c r="F264" s="2" t="s">
        <v>28</v>
      </c>
      <c r="G264" s="1" t="s">
        <v>137</v>
      </c>
      <c r="H264" s="2" t="s">
        <v>58</v>
      </c>
      <c r="I264" s="5">
        <v>215.36</v>
      </c>
      <c r="J264" s="2">
        <v>5</v>
      </c>
      <c r="K264" s="4">
        <v>10.87</v>
      </c>
    </row>
    <row r="265" spans="1:11" x14ac:dyDescent="0.3">
      <c r="A265" s="3">
        <v>45857</v>
      </c>
      <c r="B265" s="10">
        <f>YEAR(Table1[[#This Row],[Order Date]])</f>
        <v>2025</v>
      </c>
      <c r="C265" s="10">
        <f>MONTH(Table1[[#This Row],[Order Date]])</f>
        <v>7</v>
      </c>
      <c r="D265" s="2" t="s">
        <v>74</v>
      </c>
      <c r="E265" s="2" t="s">
        <v>34</v>
      </c>
      <c r="F265" s="2" t="s">
        <v>10</v>
      </c>
      <c r="G265" s="1" t="s">
        <v>135</v>
      </c>
      <c r="H265" s="2" t="s">
        <v>23</v>
      </c>
      <c r="I265" s="5">
        <v>667.2</v>
      </c>
      <c r="J265" s="2">
        <v>3</v>
      </c>
      <c r="K265" s="4">
        <v>67.349999999999994</v>
      </c>
    </row>
    <row r="266" spans="1:11" x14ac:dyDescent="0.3">
      <c r="A266" s="3">
        <v>45858</v>
      </c>
      <c r="B266" s="10">
        <f>YEAR(Table1[[#This Row],[Order Date]])</f>
        <v>2025</v>
      </c>
      <c r="C266" s="10">
        <f>MONTH(Table1[[#This Row],[Order Date]])</f>
        <v>7</v>
      </c>
      <c r="D266" s="2" t="s">
        <v>38</v>
      </c>
      <c r="E266" s="2" t="s">
        <v>77</v>
      </c>
      <c r="F266" s="2" t="s">
        <v>10</v>
      </c>
      <c r="G266" s="1" t="s">
        <v>135</v>
      </c>
      <c r="H266" s="2" t="s">
        <v>16</v>
      </c>
      <c r="I266" s="5">
        <v>1140.96</v>
      </c>
      <c r="J266" s="2">
        <v>5</v>
      </c>
      <c r="K266" s="4">
        <v>254.51</v>
      </c>
    </row>
    <row r="267" spans="1:11" x14ac:dyDescent="0.3">
      <c r="A267" s="3">
        <v>45858</v>
      </c>
      <c r="B267" s="10">
        <f>YEAR(Table1[[#This Row],[Order Date]])</f>
        <v>2025</v>
      </c>
      <c r="C267" s="10">
        <f>MONTH(Table1[[#This Row],[Order Date]])</f>
        <v>7</v>
      </c>
      <c r="D267" s="2" t="s">
        <v>95</v>
      </c>
      <c r="E267" s="2" t="s">
        <v>22</v>
      </c>
      <c r="F267" s="2" t="s">
        <v>10</v>
      </c>
      <c r="G267" s="1" t="s">
        <v>135</v>
      </c>
      <c r="H267" s="2" t="s">
        <v>49</v>
      </c>
      <c r="I267" s="5">
        <v>924.76</v>
      </c>
      <c r="J267" s="2">
        <v>4</v>
      </c>
      <c r="K267" s="4">
        <v>150.41999999999999</v>
      </c>
    </row>
    <row r="268" spans="1:11" x14ac:dyDescent="0.3">
      <c r="A268" s="3">
        <v>45858</v>
      </c>
      <c r="B268" s="10">
        <f>YEAR(Table1[[#This Row],[Order Date]])</f>
        <v>2025</v>
      </c>
      <c r="C268" s="10">
        <f>MONTH(Table1[[#This Row],[Order Date]])</f>
        <v>7</v>
      </c>
      <c r="D268" s="2" t="s">
        <v>87</v>
      </c>
      <c r="E268" s="2" t="s">
        <v>9</v>
      </c>
      <c r="F268" s="2" t="s">
        <v>10</v>
      </c>
      <c r="G268" s="1" t="s">
        <v>135</v>
      </c>
      <c r="H268" s="2" t="s">
        <v>11</v>
      </c>
      <c r="I268" s="5">
        <v>581.91</v>
      </c>
      <c r="J268" s="2">
        <v>1</v>
      </c>
      <c r="K268" s="4">
        <v>167.34</v>
      </c>
    </row>
    <row r="269" spans="1:11" x14ac:dyDescent="0.3">
      <c r="A269" s="3">
        <v>45865</v>
      </c>
      <c r="B269" s="10">
        <f>YEAR(Table1[[#This Row],[Order Date]])</f>
        <v>2025</v>
      </c>
      <c r="C269" s="10">
        <f>MONTH(Table1[[#This Row],[Order Date]])</f>
        <v>7</v>
      </c>
      <c r="D269" s="2" t="s">
        <v>117</v>
      </c>
      <c r="E269" s="2" t="s">
        <v>18</v>
      </c>
      <c r="F269" s="2" t="s">
        <v>10</v>
      </c>
      <c r="G269" s="1" t="s">
        <v>135</v>
      </c>
      <c r="H269" s="2" t="s">
        <v>49</v>
      </c>
      <c r="I269" s="5">
        <v>462.88</v>
      </c>
      <c r="J269" s="2">
        <v>4</v>
      </c>
      <c r="K269" s="4">
        <v>131.72</v>
      </c>
    </row>
    <row r="270" spans="1:11" x14ac:dyDescent="0.3">
      <c r="A270" s="3">
        <v>45866</v>
      </c>
      <c r="B270" s="10">
        <f>YEAR(Table1[[#This Row],[Order Date]])</f>
        <v>2025</v>
      </c>
      <c r="C270" s="10">
        <f>MONTH(Table1[[#This Row],[Order Date]])</f>
        <v>7</v>
      </c>
      <c r="D270" s="2" t="s">
        <v>54</v>
      </c>
      <c r="E270" s="2" t="s">
        <v>31</v>
      </c>
      <c r="F270" s="2" t="s">
        <v>28</v>
      </c>
      <c r="G270" s="1" t="s">
        <v>137</v>
      </c>
      <c r="H270" s="2" t="s">
        <v>29</v>
      </c>
      <c r="I270" s="5">
        <v>966.63</v>
      </c>
      <c r="J270" s="2">
        <v>3</v>
      </c>
      <c r="K270" s="4">
        <v>274.43</v>
      </c>
    </row>
    <row r="271" spans="1:11" x14ac:dyDescent="0.3">
      <c r="A271" s="3">
        <v>45866</v>
      </c>
      <c r="B271" s="10">
        <f>YEAR(Table1[[#This Row],[Order Date]])</f>
        <v>2025</v>
      </c>
      <c r="C271" s="10">
        <f>MONTH(Table1[[#This Row],[Order Date]])</f>
        <v>7</v>
      </c>
      <c r="D271" s="2" t="s">
        <v>111</v>
      </c>
      <c r="E271" s="2" t="s">
        <v>9</v>
      </c>
      <c r="F271" s="2" t="s">
        <v>28</v>
      </c>
      <c r="G271" s="1" t="s">
        <v>137</v>
      </c>
      <c r="H271" s="2" t="s">
        <v>58</v>
      </c>
      <c r="I271" s="5">
        <v>1185.01</v>
      </c>
      <c r="J271" s="2">
        <v>1</v>
      </c>
      <c r="K271" s="4">
        <v>151.6</v>
      </c>
    </row>
    <row r="272" spans="1:11" x14ac:dyDescent="0.3">
      <c r="A272" s="3">
        <v>45866</v>
      </c>
      <c r="B272" s="10">
        <f>YEAR(Table1[[#This Row],[Order Date]])</f>
        <v>2025</v>
      </c>
      <c r="C272" s="10">
        <f>MONTH(Table1[[#This Row],[Order Date]])</f>
        <v>7</v>
      </c>
      <c r="D272" s="2" t="s">
        <v>78</v>
      </c>
      <c r="E272" s="2" t="s">
        <v>39</v>
      </c>
      <c r="F272" s="2" t="s">
        <v>28</v>
      </c>
      <c r="G272" s="1" t="s">
        <v>137</v>
      </c>
      <c r="H272" s="2" t="s">
        <v>58</v>
      </c>
      <c r="I272" s="5">
        <v>773.56</v>
      </c>
      <c r="J272" s="2">
        <v>1</v>
      </c>
      <c r="K272" s="4">
        <v>143.41999999999999</v>
      </c>
    </row>
    <row r="273" spans="1:11" x14ac:dyDescent="0.3">
      <c r="A273" s="3">
        <v>45866</v>
      </c>
      <c r="B273" s="10">
        <f>YEAR(Table1[[#This Row],[Order Date]])</f>
        <v>2025</v>
      </c>
      <c r="C273" s="10">
        <f>MONTH(Table1[[#This Row],[Order Date]])</f>
        <v>7</v>
      </c>
      <c r="D273" s="2" t="s">
        <v>46</v>
      </c>
      <c r="E273" s="2" t="s">
        <v>9</v>
      </c>
      <c r="F273" s="2" t="s">
        <v>10</v>
      </c>
      <c r="G273" s="1" t="s">
        <v>135</v>
      </c>
      <c r="H273" s="2" t="s">
        <v>49</v>
      </c>
      <c r="I273" s="5">
        <v>1096.47</v>
      </c>
      <c r="J273" s="2">
        <v>1</v>
      </c>
      <c r="K273" s="4">
        <v>73.290000000000006</v>
      </c>
    </row>
    <row r="274" spans="1:11" x14ac:dyDescent="0.3">
      <c r="A274" s="3">
        <v>45867</v>
      </c>
      <c r="B274" s="10">
        <f>YEAR(Table1[[#This Row],[Order Date]])</f>
        <v>2025</v>
      </c>
      <c r="C274" s="10">
        <f>MONTH(Table1[[#This Row],[Order Date]])</f>
        <v>7</v>
      </c>
      <c r="D274" s="2" t="s">
        <v>55</v>
      </c>
      <c r="E274" s="2" t="s">
        <v>18</v>
      </c>
      <c r="F274" s="2" t="s">
        <v>19</v>
      </c>
      <c r="G274" s="1" t="s">
        <v>136</v>
      </c>
      <c r="H274" s="2" t="s">
        <v>45</v>
      </c>
      <c r="I274" s="5">
        <v>1475.3</v>
      </c>
      <c r="J274" s="2">
        <v>3</v>
      </c>
      <c r="K274" s="4">
        <v>374.89</v>
      </c>
    </row>
    <row r="275" spans="1:11" x14ac:dyDescent="0.3">
      <c r="A275" s="3">
        <v>45868</v>
      </c>
      <c r="B275" s="10">
        <f>YEAR(Table1[[#This Row],[Order Date]])</f>
        <v>2025</v>
      </c>
      <c r="C275" s="10">
        <f>MONTH(Table1[[#This Row],[Order Date]])</f>
        <v>7</v>
      </c>
      <c r="D275" s="2" t="s">
        <v>99</v>
      </c>
      <c r="E275" s="2" t="s">
        <v>18</v>
      </c>
      <c r="F275" s="2" t="s">
        <v>10</v>
      </c>
      <c r="G275" s="1" t="s">
        <v>135</v>
      </c>
      <c r="H275" s="2" t="s">
        <v>49</v>
      </c>
      <c r="I275" s="5">
        <v>1455.17</v>
      </c>
      <c r="J275" s="2">
        <v>3</v>
      </c>
      <c r="K275" s="4">
        <v>279.79000000000002</v>
      </c>
    </row>
    <row r="276" spans="1:11" x14ac:dyDescent="0.3">
      <c r="A276" s="3">
        <v>45869</v>
      </c>
      <c r="B276" s="10">
        <f>YEAR(Table1[[#This Row],[Order Date]])</f>
        <v>2025</v>
      </c>
      <c r="C276" s="10">
        <f>MONTH(Table1[[#This Row],[Order Date]])</f>
        <v>7</v>
      </c>
      <c r="D276" s="2" t="s">
        <v>102</v>
      </c>
      <c r="E276" s="2" t="s">
        <v>37</v>
      </c>
      <c r="F276" s="2" t="s">
        <v>10</v>
      </c>
      <c r="G276" s="1" t="s">
        <v>135</v>
      </c>
      <c r="H276" s="2" t="s">
        <v>23</v>
      </c>
      <c r="I276" s="5">
        <v>1201.68</v>
      </c>
      <c r="J276" s="2">
        <v>5</v>
      </c>
      <c r="K276" s="4">
        <v>247.84</v>
      </c>
    </row>
    <row r="277" spans="1:11" x14ac:dyDescent="0.3">
      <c r="A277" s="3">
        <v>45870</v>
      </c>
      <c r="B277" s="10">
        <f>YEAR(Table1[[#This Row],[Order Date]])</f>
        <v>2025</v>
      </c>
      <c r="C277" s="10">
        <f>MONTH(Table1[[#This Row],[Order Date]])</f>
        <v>8</v>
      </c>
      <c r="D277" s="2" t="s">
        <v>44</v>
      </c>
      <c r="E277" s="2" t="s">
        <v>18</v>
      </c>
      <c r="F277" s="2" t="s">
        <v>28</v>
      </c>
      <c r="G277" s="1" t="s">
        <v>137</v>
      </c>
      <c r="H277" s="2" t="s">
        <v>35</v>
      </c>
      <c r="I277" s="5">
        <v>1202.8699999999999</v>
      </c>
      <c r="J277" s="2">
        <v>2</v>
      </c>
      <c r="K277" s="4">
        <v>72.53</v>
      </c>
    </row>
    <row r="278" spans="1:11" x14ac:dyDescent="0.3">
      <c r="A278" s="3">
        <v>45870</v>
      </c>
      <c r="B278" s="10">
        <f>YEAR(Table1[[#This Row],[Order Date]])</f>
        <v>2025</v>
      </c>
      <c r="C278" s="10">
        <f>MONTH(Table1[[#This Row],[Order Date]])</f>
        <v>8</v>
      </c>
      <c r="D278" s="2" t="s">
        <v>93</v>
      </c>
      <c r="E278" s="2" t="s">
        <v>15</v>
      </c>
      <c r="F278" s="2" t="s">
        <v>28</v>
      </c>
      <c r="G278" s="1" t="s">
        <v>137</v>
      </c>
      <c r="H278" s="2" t="s">
        <v>73</v>
      </c>
      <c r="I278" s="5">
        <v>167.44</v>
      </c>
      <c r="J278" s="2">
        <v>5</v>
      </c>
      <c r="K278" s="4">
        <v>9.11</v>
      </c>
    </row>
    <row r="279" spans="1:11" x14ac:dyDescent="0.3">
      <c r="A279" s="3">
        <v>45871</v>
      </c>
      <c r="B279" s="10">
        <f>YEAR(Table1[[#This Row],[Order Date]])</f>
        <v>2025</v>
      </c>
      <c r="C279" s="10">
        <f>MONTH(Table1[[#This Row],[Order Date]])</f>
        <v>8</v>
      </c>
      <c r="D279" s="2" t="s">
        <v>30</v>
      </c>
      <c r="E279" s="2" t="s">
        <v>34</v>
      </c>
      <c r="F279" s="2" t="s">
        <v>28</v>
      </c>
      <c r="G279" s="1" t="s">
        <v>137</v>
      </c>
      <c r="H279" s="2" t="s">
        <v>35</v>
      </c>
      <c r="I279" s="5">
        <v>1141.42</v>
      </c>
      <c r="J279" s="2">
        <v>1</v>
      </c>
      <c r="K279" s="4">
        <v>165.44</v>
      </c>
    </row>
    <row r="280" spans="1:11" x14ac:dyDescent="0.3">
      <c r="A280" s="3">
        <v>45871</v>
      </c>
      <c r="B280" s="10">
        <f>YEAR(Table1[[#This Row],[Order Date]])</f>
        <v>2025</v>
      </c>
      <c r="C280" s="10">
        <f>MONTH(Table1[[#This Row],[Order Date]])</f>
        <v>8</v>
      </c>
      <c r="D280" s="2" t="s">
        <v>98</v>
      </c>
      <c r="E280" s="2" t="s">
        <v>37</v>
      </c>
      <c r="F280" s="2" t="s">
        <v>28</v>
      </c>
      <c r="G280" s="1" t="s">
        <v>137</v>
      </c>
      <c r="H280" s="2" t="s">
        <v>35</v>
      </c>
      <c r="I280" s="5">
        <v>490.1</v>
      </c>
      <c r="J280" s="2">
        <v>4</v>
      </c>
      <c r="K280" s="4">
        <v>60.38</v>
      </c>
    </row>
    <row r="281" spans="1:11" x14ac:dyDescent="0.3">
      <c r="A281" s="3">
        <v>45872</v>
      </c>
      <c r="B281" s="10">
        <f>YEAR(Table1[[#This Row],[Order Date]])</f>
        <v>2025</v>
      </c>
      <c r="C281" s="10">
        <f>MONTH(Table1[[#This Row],[Order Date]])</f>
        <v>8</v>
      </c>
      <c r="D281" s="2" t="s">
        <v>50</v>
      </c>
      <c r="E281" s="2" t="s">
        <v>22</v>
      </c>
      <c r="F281" s="2" t="s">
        <v>28</v>
      </c>
      <c r="G281" s="1" t="s">
        <v>137</v>
      </c>
      <c r="H281" s="2" t="s">
        <v>73</v>
      </c>
      <c r="I281" s="5">
        <v>1098.99</v>
      </c>
      <c r="J281" s="2">
        <v>1</v>
      </c>
      <c r="K281" s="4">
        <v>111.27</v>
      </c>
    </row>
    <row r="282" spans="1:11" x14ac:dyDescent="0.3">
      <c r="A282" s="3">
        <v>45873</v>
      </c>
      <c r="B282" s="10">
        <f>YEAR(Table1[[#This Row],[Order Date]])</f>
        <v>2025</v>
      </c>
      <c r="C282" s="10">
        <f>MONTH(Table1[[#This Row],[Order Date]])</f>
        <v>8</v>
      </c>
      <c r="D282" s="2" t="s">
        <v>82</v>
      </c>
      <c r="E282" s="2" t="s">
        <v>77</v>
      </c>
      <c r="F282" s="2" t="s">
        <v>28</v>
      </c>
      <c r="G282" s="1" t="s">
        <v>137</v>
      </c>
      <c r="H282" s="2" t="s">
        <v>35</v>
      </c>
      <c r="I282" s="5">
        <v>904.89</v>
      </c>
      <c r="J282" s="2">
        <v>3</v>
      </c>
      <c r="K282" s="4">
        <v>223.12</v>
      </c>
    </row>
    <row r="283" spans="1:11" x14ac:dyDescent="0.3">
      <c r="A283" s="3">
        <v>45873</v>
      </c>
      <c r="B283" s="10">
        <f>YEAR(Table1[[#This Row],[Order Date]])</f>
        <v>2025</v>
      </c>
      <c r="C283" s="10">
        <f>MONTH(Table1[[#This Row],[Order Date]])</f>
        <v>8</v>
      </c>
      <c r="D283" s="2" t="s">
        <v>86</v>
      </c>
      <c r="E283" s="2" t="s">
        <v>18</v>
      </c>
      <c r="F283" s="2" t="s">
        <v>10</v>
      </c>
      <c r="G283" s="1" t="s">
        <v>135</v>
      </c>
      <c r="H283" s="2" t="s">
        <v>16</v>
      </c>
      <c r="I283" s="5">
        <v>605.05999999999995</v>
      </c>
      <c r="J283" s="2">
        <v>5</v>
      </c>
      <c r="K283" s="4">
        <v>48.86</v>
      </c>
    </row>
    <row r="284" spans="1:11" x14ac:dyDescent="0.3">
      <c r="A284" s="3">
        <v>45874</v>
      </c>
      <c r="B284" s="10">
        <f>YEAR(Table1[[#This Row],[Order Date]])</f>
        <v>2025</v>
      </c>
      <c r="C284" s="10">
        <f>MONTH(Table1[[#This Row],[Order Date]])</f>
        <v>8</v>
      </c>
      <c r="D284" s="2" t="s">
        <v>82</v>
      </c>
      <c r="E284" s="2" t="s">
        <v>22</v>
      </c>
      <c r="F284" s="2" t="s">
        <v>28</v>
      </c>
      <c r="G284" s="1" t="s">
        <v>137</v>
      </c>
      <c r="H284" s="2" t="s">
        <v>35</v>
      </c>
      <c r="I284" s="5">
        <v>476.15</v>
      </c>
      <c r="J284" s="2">
        <v>5</v>
      </c>
      <c r="K284" s="4">
        <v>110.83</v>
      </c>
    </row>
    <row r="285" spans="1:11" x14ac:dyDescent="0.3">
      <c r="A285" s="3">
        <v>45874</v>
      </c>
      <c r="B285" s="10">
        <f>YEAR(Table1[[#This Row],[Order Date]])</f>
        <v>2025</v>
      </c>
      <c r="C285" s="10">
        <f>MONTH(Table1[[#This Row],[Order Date]])</f>
        <v>8</v>
      </c>
      <c r="D285" s="2" t="s">
        <v>125</v>
      </c>
      <c r="E285" s="2" t="s">
        <v>31</v>
      </c>
      <c r="F285" s="2" t="s">
        <v>28</v>
      </c>
      <c r="G285" s="1" t="s">
        <v>137</v>
      </c>
      <c r="H285" s="2" t="s">
        <v>58</v>
      </c>
      <c r="I285" s="5">
        <v>274.87</v>
      </c>
      <c r="J285" s="2">
        <v>4</v>
      </c>
      <c r="K285" s="4">
        <v>56.21</v>
      </c>
    </row>
    <row r="286" spans="1:11" x14ac:dyDescent="0.3">
      <c r="A286" s="3">
        <v>45874</v>
      </c>
      <c r="B286" s="10">
        <f>YEAR(Table1[[#This Row],[Order Date]])</f>
        <v>2025</v>
      </c>
      <c r="C286" s="10">
        <f>MONTH(Table1[[#This Row],[Order Date]])</f>
        <v>8</v>
      </c>
      <c r="D286" s="2" t="s">
        <v>132</v>
      </c>
      <c r="E286" s="2" t="s">
        <v>31</v>
      </c>
      <c r="F286" s="2" t="s">
        <v>19</v>
      </c>
      <c r="G286" s="1" t="s">
        <v>136</v>
      </c>
      <c r="H286" s="2" t="s">
        <v>45</v>
      </c>
      <c r="I286" s="5">
        <v>1240.71</v>
      </c>
      <c r="J286" s="2">
        <v>1</v>
      </c>
      <c r="K286" s="4">
        <v>136.44</v>
      </c>
    </row>
    <row r="287" spans="1:11" x14ac:dyDescent="0.3">
      <c r="A287" s="3">
        <v>45876</v>
      </c>
      <c r="B287" s="10">
        <f>YEAR(Table1[[#This Row],[Order Date]])</f>
        <v>2025</v>
      </c>
      <c r="C287" s="10">
        <f>MONTH(Table1[[#This Row],[Order Date]])</f>
        <v>8</v>
      </c>
      <c r="D287" s="2" t="s">
        <v>100</v>
      </c>
      <c r="E287" s="2" t="s">
        <v>18</v>
      </c>
      <c r="F287" s="2" t="s">
        <v>10</v>
      </c>
      <c r="G287" s="1" t="s">
        <v>135</v>
      </c>
      <c r="H287" s="2" t="s">
        <v>16</v>
      </c>
      <c r="I287" s="5">
        <v>1091.92</v>
      </c>
      <c r="J287" s="2">
        <v>2</v>
      </c>
      <c r="K287" s="4">
        <v>286.52999999999997</v>
      </c>
    </row>
    <row r="288" spans="1:11" x14ac:dyDescent="0.3">
      <c r="A288" s="3">
        <v>45876</v>
      </c>
      <c r="B288" s="10">
        <f>YEAR(Table1[[#This Row],[Order Date]])</f>
        <v>2025</v>
      </c>
      <c r="C288" s="10">
        <f>MONTH(Table1[[#This Row],[Order Date]])</f>
        <v>8</v>
      </c>
      <c r="D288" s="2" t="s">
        <v>97</v>
      </c>
      <c r="E288" s="2" t="s">
        <v>15</v>
      </c>
      <c r="F288" s="2" t="s">
        <v>19</v>
      </c>
      <c r="G288" s="1" t="s">
        <v>136</v>
      </c>
      <c r="H288" s="2" t="s">
        <v>40</v>
      </c>
      <c r="I288" s="5">
        <v>942.58</v>
      </c>
      <c r="J288" s="2">
        <v>5</v>
      </c>
      <c r="K288" s="4">
        <v>192.25</v>
      </c>
    </row>
    <row r="289" spans="1:11" x14ac:dyDescent="0.3">
      <c r="A289" s="3">
        <v>45876</v>
      </c>
      <c r="B289" s="10">
        <f>YEAR(Table1[[#This Row],[Order Date]])</f>
        <v>2025</v>
      </c>
      <c r="C289" s="10">
        <f>MONTH(Table1[[#This Row],[Order Date]])</f>
        <v>8</v>
      </c>
      <c r="D289" s="2" t="s">
        <v>124</v>
      </c>
      <c r="E289" s="2" t="s">
        <v>34</v>
      </c>
      <c r="F289" s="2" t="s">
        <v>19</v>
      </c>
      <c r="G289" s="1" t="s">
        <v>136</v>
      </c>
      <c r="H289" s="2" t="s">
        <v>65</v>
      </c>
      <c r="I289" s="5">
        <v>1230.69</v>
      </c>
      <c r="J289" s="2">
        <v>4</v>
      </c>
      <c r="K289" s="4">
        <v>164.67</v>
      </c>
    </row>
    <row r="290" spans="1:11" x14ac:dyDescent="0.3">
      <c r="A290" s="3">
        <v>45876</v>
      </c>
      <c r="B290" s="10">
        <f>YEAR(Table1[[#This Row],[Order Date]])</f>
        <v>2025</v>
      </c>
      <c r="C290" s="10">
        <f>MONTH(Table1[[#This Row],[Order Date]])</f>
        <v>8</v>
      </c>
      <c r="D290" s="2" t="s">
        <v>109</v>
      </c>
      <c r="E290" s="2" t="s">
        <v>18</v>
      </c>
      <c r="F290" s="2" t="s">
        <v>10</v>
      </c>
      <c r="G290" s="1" t="s">
        <v>135</v>
      </c>
      <c r="H290" s="2" t="s">
        <v>23</v>
      </c>
      <c r="I290" s="5">
        <v>771.8</v>
      </c>
      <c r="J290" s="2">
        <v>1</v>
      </c>
      <c r="K290" s="4">
        <v>108.49</v>
      </c>
    </row>
    <row r="291" spans="1:11" x14ac:dyDescent="0.3">
      <c r="A291" s="3">
        <v>45877</v>
      </c>
      <c r="B291" s="10">
        <f>YEAR(Table1[[#This Row],[Order Date]])</f>
        <v>2025</v>
      </c>
      <c r="C291" s="10">
        <f>MONTH(Table1[[#This Row],[Order Date]])</f>
        <v>8</v>
      </c>
      <c r="D291" s="2" t="s">
        <v>75</v>
      </c>
      <c r="E291" s="2" t="s">
        <v>77</v>
      </c>
      <c r="F291" s="2" t="s">
        <v>10</v>
      </c>
      <c r="G291" s="1" t="s">
        <v>135</v>
      </c>
      <c r="H291" s="2" t="s">
        <v>49</v>
      </c>
      <c r="I291" s="5">
        <v>1441.99</v>
      </c>
      <c r="J291" s="2">
        <v>1</v>
      </c>
      <c r="K291" s="4">
        <v>273.01</v>
      </c>
    </row>
    <row r="292" spans="1:11" x14ac:dyDescent="0.3">
      <c r="A292" s="3">
        <v>45877</v>
      </c>
      <c r="B292" s="10">
        <f>YEAR(Table1[[#This Row],[Order Date]])</f>
        <v>2025</v>
      </c>
      <c r="C292" s="10">
        <f>MONTH(Table1[[#This Row],[Order Date]])</f>
        <v>8</v>
      </c>
      <c r="D292" s="2" t="s">
        <v>67</v>
      </c>
      <c r="E292" s="2" t="s">
        <v>31</v>
      </c>
      <c r="F292" s="2" t="s">
        <v>28</v>
      </c>
      <c r="G292" s="1" t="s">
        <v>137</v>
      </c>
      <c r="H292" s="2" t="s">
        <v>58</v>
      </c>
      <c r="I292" s="5">
        <v>1416.96</v>
      </c>
      <c r="J292" s="2">
        <v>2</v>
      </c>
      <c r="K292" s="4">
        <v>334.78</v>
      </c>
    </row>
    <row r="293" spans="1:11" x14ac:dyDescent="0.3">
      <c r="A293" s="3">
        <v>45877</v>
      </c>
      <c r="B293" s="10">
        <f>YEAR(Table1[[#This Row],[Order Date]])</f>
        <v>2025</v>
      </c>
      <c r="C293" s="10">
        <f>MONTH(Table1[[#This Row],[Order Date]])</f>
        <v>8</v>
      </c>
      <c r="D293" s="2" t="s">
        <v>55</v>
      </c>
      <c r="E293" s="2" t="s">
        <v>37</v>
      </c>
      <c r="F293" s="2" t="s">
        <v>28</v>
      </c>
      <c r="G293" s="1" t="s">
        <v>137</v>
      </c>
      <c r="H293" s="2" t="s">
        <v>29</v>
      </c>
      <c r="I293" s="5">
        <v>239.3</v>
      </c>
      <c r="J293" s="2">
        <v>3</v>
      </c>
      <c r="K293" s="4">
        <v>25.39</v>
      </c>
    </row>
    <row r="294" spans="1:11" x14ac:dyDescent="0.3">
      <c r="A294" s="3">
        <v>45877</v>
      </c>
      <c r="B294" s="10">
        <f>YEAR(Table1[[#This Row],[Order Date]])</f>
        <v>2025</v>
      </c>
      <c r="C294" s="10">
        <f>MONTH(Table1[[#This Row],[Order Date]])</f>
        <v>8</v>
      </c>
      <c r="D294" s="2" t="s">
        <v>87</v>
      </c>
      <c r="E294" s="2" t="s">
        <v>37</v>
      </c>
      <c r="F294" s="2" t="s">
        <v>28</v>
      </c>
      <c r="G294" s="1" t="s">
        <v>137</v>
      </c>
      <c r="H294" s="2" t="s">
        <v>69</v>
      </c>
      <c r="I294" s="5">
        <v>985.22</v>
      </c>
      <c r="J294" s="2">
        <v>3</v>
      </c>
      <c r="K294" s="4">
        <v>263.07</v>
      </c>
    </row>
    <row r="295" spans="1:11" x14ac:dyDescent="0.3">
      <c r="A295" s="3">
        <v>45879</v>
      </c>
      <c r="B295" s="10">
        <f>YEAR(Table1[[#This Row],[Order Date]])</f>
        <v>2025</v>
      </c>
      <c r="C295" s="10">
        <f>MONTH(Table1[[#This Row],[Order Date]])</f>
        <v>8</v>
      </c>
      <c r="D295" s="2" t="s">
        <v>78</v>
      </c>
      <c r="E295" s="2" t="s">
        <v>15</v>
      </c>
      <c r="F295" s="2" t="s">
        <v>28</v>
      </c>
      <c r="G295" s="1" t="s">
        <v>137</v>
      </c>
      <c r="H295" s="2" t="s">
        <v>73</v>
      </c>
      <c r="I295" s="5">
        <v>265.8</v>
      </c>
      <c r="J295" s="2">
        <v>5</v>
      </c>
      <c r="K295" s="4">
        <v>14.51</v>
      </c>
    </row>
    <row r="296" spans="1:11" x14ac:dyDescent="0.3">
      <c r="A296" s="3">
        <v>45879</v>
      </c>
      <c r="B296" s="10">
        <f>YEAR(Table1[[#This Row],[Order Date]])</f>
        <v>2025</v>
      </c>
      <c r="C296" s="10">
        <f>MONTH(Table1[[#This Row],[Order Date]])</f>
        <v>8</v>
      </c>
      <c r="D296" s="2" t="s">
        <v>14</v>
      </c>
      <c r="E296" s="2" t="s">
        <v>22</v>
      </c>
      <c r="F296" s="2" t="s">
        <v>19</v>
      </c>
      <c r="G296" s="1" t="s">
        <v>136</v>
      </c>
      <c r="H296" s="2" t="s">
        <v>45</v>
      </c>
      <c r="I296" s="5">
        <v>1008.44</v>
      </c>
      <c r="J296" s="2">
        <v>5</v>
      </c>
      <c r="K296" s="4">
        <v>252.87</v>
      </c>
    </row>
    <row r="297" spans="1:11" x14ac:dyDescent="0.3">
      <c r="A297" s="3">
        <v>45882</v>
      </c>
      <c r="B297" s="10">
        <f>YEAR(Table1[[#This Row],[Order Date]])</f>
        <v>2025</v>
      </c>
      <c r="C297" s="10">
        <f>MONTH(Table1[[#This Row],[Order Date]])</f>
        <v>8</v>
      </c>
      <c r="D297" s="2" t="s">
        <v>100</v>
      </c>
      <c r="E297" s="2" t="s">
        <v>18</v>
      </c>
      <c r="F297" s="2" t="s">
        <v>28</v>
      </c>
      <c r="G297" s="1" t="s">
        <v>137</v>
      </c>
      <c r="H297" s="2" t="s">
        <v>69</v>
      </c>
      <c r="I297" s="5">
        <v>726.82</v>
      </c>
      <c r="J297" s="2">
        <v>3</v>
      </c>
      <c r="K297" s="4">
        <v>64.55</v>
      </c>
    </row>
    <row r="298" spans="1:11" x14ac:dyDescent="0.3">
      <c r="A298" s="3">
        <v>45882</v>
      </c>
      <c r="B298" s="10">
        <f>YEAR(Table1[[#This Row],[Order Date]])</f>
        <v>2025</v>
      </c>
      <c r="C298" s="10">
        <f>MONTH(Table1[[#This Row],[Order Date]])</f>
        <v>8</v>
      </c>
      <c r="D298" s="2" t="s">
        <v>38</v>
      </c>
      <c r="E298" s="2" t="s">
        <v>39</v>
      </c>
      <c r="F298" s="2" t="s">
        <v>28</v>
      </c>
      <c r="G298" s="1" t="s">
        <v>137</v>
      </c>
      <c r="H298" s="2" t="s">
        <v>73</v>
      </c>
      <c r="I298" s="5">
        <v>1102.28</v>
      </c>
      <c r="J298" s="2">
        <v>3</v>
      </c>
      <c r="K298" s="4">
        <v>106.93</v>
      </c>
    </row>
    <row r="299" spans="1:11" x14ac:dyDescent="0.3">
      <c r="A299" s="3">
        <v>45882</v>
      </c>
      <c r="B299" s="10">
        <f>YEAR(Table1[[#This Row],[Order Date]])</f>
        <v>2025</v>
      </c>
      <c r="C299" s="10">
        <f>MONTH(Table1[[#This Row],[Order Date]])</f>
        <v>8</v>
      </c>
      <c r="D299" s="2" t="s">
        <v>41</v>
      </c>
      <c r="E299" s="2" t="s">
        <v>39</v>
      </c>
      <c r="F299" s="2" t="s">
        <v>10</v>
      </c>
      <c r="G299" s="1" t="s">
        <v>135</v>
      </c>
      <c r="H299" s="2" t="s">
        <v>23</v>
      </c>
      <c r="I299" s="5">
        <v>902.05</v>
      </c>
      <c r="J299" s="2">
        <v>2</v>
      </c>
      <c r="K299" s="4">
        <v>76.42</v>
      </c>
    </row>
    <row r="300" spans="1:11" x14ac:dyDescent="0.3">
      <c r="A300" s="3">
        <v>45882</v>
      </c>
      <c r="B300" s="10">
        <f>YEAR(Table1[[#This Row],[Order Date]])</f>
        <v>2025</v>
      </c>
      <c r="C300" s="10">
        <f>MONTH(Table1[[#This Row],[Order Date]])</f>
        <v>8</v>
      </c>
      <c r="D300" s="2" t="s">
        <v>89</v>
      </c>
      <c r="E300" s="2" t="s">
        <v>18</v>
      </c>
      <c r="F300" s="2" t="s">
        <v>10</v>
      </c>
      <c r="G300" s="1" t="s">
        <v>135</v>
      </c>
      <c r="H300" s="2" t="s">
        <v>13</v>
      </c>
      <c r="I300" s="5">
        <v>27.44</v>
      </c>
      <c r="J300" s="2">
        <v>4</v>
      </c>
      <c r="K300" s="4">
        <v>3.4</v>
      </c>
    </row>
    <row r="301" spans="1:11" x14ac:dyDescent="0.3">
      <c r="A301" s="3">
        <v>45883</v>
      </c>
      <c r="B301" s="10">
        <f>YEAR(Table1[[#This Row],[Order Date]])</f>
        <v>2025</v>
      </c>
      <c r="C301" s="10">
        <f>MONTH(Table1[[#This Row],[Order Date]])</f>
        <v>8</v>
      </c>
      <c r="D301" s="2" t="s">
        <v>86</v>
      </c>
      <c r="E301" s="2" t="s">
        <v>77</v>
      </c>
      <c r="F301" s="2" t="s">
        <v>19</v>
      </c>
      <c r="G301" s="1" t="s">
        <v>136</v>
      </c>
      <c r="H301" s="2" t="s">
        <v>40</v>
      </c>
      <c r="I301" s="5">
        <v>1365.19</v>
      </c>
      <c r="J301" s="2">
        <v>5</v>
      </c>
      <c r="K301" s="4">
        <v>286.19</v>
      </c>
    </row>
    <row r="302" spans="1:11" x14ac:dyDescent="0.3">
      <c r="A302" s="3">
        <v>45883</v>
      </c>
      <c r="B302" s="10">
        <f>YEAR(Table1[[#This Row],[Order Date]])</f>
        <v>2025</v>
      </c>
      <c r="C302" s="10">
        <f>MONTH(Table1[[#This Row],[Order Date]])</f>
        <v>8</v>
      </c>
      <c r="D302" s="2" t="s">
        <v>42</v>
      </c>
      <c r="E302" s="2" t="s">
        <v>9</v>
      </c>
      <c r="F302" s="2" t="s">
        <v>10</v>
      </c>
      <c r="G302" s="1" t="s">
        <v>135</v>
      </c>
      <c r="H302" s="2" t="s">
        <v>13</v>
      </c>
      <c r="I302" s="5">
        <v>258.62</v>
      </c>
      <c r="J302" s="2">
        <v>5</v>
      </c>
      <c r="K302" s="4">
        <v>54.68</v>
      </c>
    </row>
    <row r="303" spans="1:11" x14ac:dyDescent="0.3">
      <c r="A303" s="3">
        <v>45884</v>
      </c>
      <c r="B303" s="10">
        <f>YEAR(Table1[[#This Row],[Order Date]])</f>
        <v>2025</v>
      </c>
      <c r="C303" s="10">
        <f>MONTH(Table1[[#This Row],[Order Date]])</f>
        <v>8</v>
      </c>
      <c r="D303" s="2" t="s">
        <v>113</v>
      </c>
      <c r="E303" s="2" t="s">
        <v>9</v>
      </c>
      <c r="F303" s="2" t="s">
        <v>10</v>
      </c>
      <c r="G303" s="1" t="s">
        <v>135</v>
      </c>
      <c r="H303" s="2" t="s">
        <v>23</v>
      </c>
      <c r="I303" s="5">
        <v>1043.98</v>
      </c>
      <c r="J303" s="2">
        <v>4</v>
      </c>
      <c r="K303" s="4">
        <v>239.12</v>
      </c>
    </row>
    <row r="304" spans="1:11" x14ac:dyDescent="0.3">
      <c r="A304" s="3">
        <v>45885</v>
      </c>
      <c r="B304" s="10">
        <f>YEAR(Table1[[#This Row],[Order Date]])</f>
        <v>2025</v>
      </c>
      <c r="C304" s="10">
        <f>MONTH(Table1[[#This Row],[Order Date]])</f>
        <v>8</v>
      </c>
      <c r="D304" s="2" t="s">
        <v>114</v>
      </c>
      <c r="E304" s="2" t="s">
        <v>34</v>
      </c>
      <c r="F304" s="2" t="s">
        <v>10</v>
      </c>
      <c r="G304" s="1" t="s">
        <v>135</v>
      </c>
      <c r="H304" s="2" t="s">
        <v>13</v>
      </c>
      <c r="I304" s="5">
        <v>520.36</v>
      </c>
      <c r="J304" s="2">
        <v>2</v>
      </c>
      <c r="K304" s="4">
        <v>149.25</v>
      </c>
    </row>
    <row r="305" spans="1:11" x14ac:dyDescent="0.3">
      <c r="A305" s="3">
        <v>45885</v>
      </c>
      <c r="B305" s="10">
        <f>YEAR(Table1[[#This Row],[Order Date]])</f>
        <v>2025</v>
      </c>
      <c r="C305" s="10">
        <f>MONTH(Table1[[#This Row],[Order Date]])</f>
        <v>8</v>
      </c>
      <c r="D305" s="2" t="s">
        <v>87</v>
      </c>
      <c r="E305" s="2" t="s">
        <v>34</v>
      </c>
      <c r="F305" s="2" t="s">
        <v>10</v>
      </c>
      <c r="G305" s="1" t="s">
        <v>135</v>
      </c>
      <c r="H305" s="2" t="s">
        <v>16</v>
      </c>
      <c r="I305" s="5">
        <v>414.01</v>
      </c>
      <c r="J305" s="2">
        <v>2</v>
      </c>
      <c r="K305" s="4">
        <v>91.1</v>
      </c>
    </row>
    <row r="306" spans="1:11" x14ac:dyDescent="0.3">
      <c r="A306" s="3">
        <v>45886</v>
      </c>
      <c r="B306" s="10">
        <f>YEAR(Table1[[#This Row],[Order Date]])</f>
        <v>2025</v>
      </c>
      <c r="C306" s="10">
        <f>MONTH(Table1[[#This Row],[Order Date]])</f>
        <v>8</v>
      </c>
      <c r="D306" s="2" t="s">
        <v>99</v>
      </c>
      <c r="E306" s="2" t="s">
        <v>22</v>
      </c>
      <c r="F306" s="2" t="s">
        <v>28</v>
      </c>
      <c r="G306" s="1" t="s">
        <v>137</v>
      </c>
      <c r="H306" s="2" t="s">
        <v>29</v>
      </c>
      <c r="I306" s="5">
        <v>641.67999999999995</v>
      </c>
      <c r="J306" s="2">
        <v>5</v>
      </c>
      <c r="K306" s="4">
        <v>59.04</v>
      </c>
    </row>
    <row r="307" spans="1:11" x14ac:dyDescent="0.3">
      <c r="A307" s="3">
        <v>45887</v>
      </c>
      <c r="B307" s="10">
        <f>YEAR(Table1[[#This Row],[Order Date]])</f>
        <v>2025</v>
      </c>
      <c r="C307" s="10">
        <f>MONTH(Table1[[#This Row],[Order Date]])</f>
        <v>8</v>
      </c>
      <c r="D307" s="2" t="s">
        <v>112</v>
      </c>
      <c r="E307" s="2" t="s">
        <v>22</v>
      </c>
      <c r="F307" s="2" t="s">
        <v>19</v>
      </c>
      <c r="G307" s="1" t="s">
        <v>136</v>
      </c>
      <c r="H307" s="2" t="s">
        <v>20</v>
      </c>
      <c r="I307" s="5">
        <v>1060.3399999999999</v>
      </c>
      <c r="J307" s="2">
        <v>2</v>
      </c>
      <c r="K307" s="4">
        <v>174.87</v>
      </c>
    </row>
    <row r="308" spans="1:11" x14ac:dyDescent="0.3">
      <c r="A308" s="3">
        <v>45887</v>
      </c>
      <c r="B308" s="10">
        <f>YEAR(Table1[[#This Row],[Order Date]])</f>
        <v>2025</v>
      </c>
      <c r="C308" s="10">
        <f>MONTH(Table1[[#This Row],[Order Date]])</f>
        <v>8</v>
      </c>
      <c r="D308" s="2" t="s">
        <v>14</v>
      </c>
      <c r="E308" s="2" t="s">
        <v>31</v>
      </c>
      <c r="F308" s="2" t="s">
        <v>10</v>
      </c>
      <c r="G308" s="1" t="s">
        <v>135</v>
      </c>
      <c r="H308" s="2" t="s">
        <v>49</v>
      </c>
      <c r="I308" s="5">
        <v>1464.23</v>
      </c>
      <c r="J308" s="2">
        <v>2</v>
      </c>
      <c r="K308" s="4">
        <v>77.03</v>
      </c>
    </row>
    <row r="309" spans="1:11" x14ac:dyDescent="0.3">
      <c r="A309" s="3">
        <v>45887</v>
      </c>
      <c r="B309" s="10">
        <f>YEAR(Table1[[#This Row],[Order Date]])</f>
        <v>2025</v>
      </c>
      <c r="C309" s="10">
        <f>MONTH(Table1[[#This Row],[Order Date]])</f>
        <v>8</v>
      </c>
      <c r="D309" s="2" t="s">
        <v>79</v>
      </c>
      <c r="E309" s="2" t="s">
        <v>31</v>
      </c>
      <c r="F309" s="2" t="s">
        <v>28</v>
      </c>
      <c r="G309" s="1" t="s">
        <v>137</v>
      </c>
      <c r="H309" s="2" t="s">
        <v>29</v>
      </c>
      <c r="I309" s="5">
        <v>1160.07</v>
      </c>
      <c r="J309" s="2">
        <v>2</v>
      </c>
      <c r="K309" s="4">
        <v>270.43</v>
      </c>
    </row>
    <row r="310" spans="1:11" x14ac:dyDescent="0.3">
      <c r="A310" s="3">
        <v>45888</v>
      </c>
      <c r="B310" s="10">
        <f>YEAR(Table1[[#This Row],[Order Date]])</f>
        <v>2025</v>
      </c>
      <c r="C310" s="10">
        <f>MONTH(Table1[[#This Row],[Order Date]])</f>
        <v>8</v>
      </c>
      <c r="D310" s="2" t="s">
        <v>89</v>
      </c>
      <c r="E310" s="2" t="s">
        <v>39</v>
      </c>
      <c r="F310" s="2" t="s">
        <v>19</v>
      </c>
      <c r="G310" s="1" t="s">
        <v>136</v>
      </c>
      <c r="H310" s="2" t="s">
        <v>45</v>
      </c>
      <c r="I310" s="5">
        <v>1261.29</v>
      </c>
      <c r="J310" s="2">
        <v>5</v>
      </c>
      <c r="K310" s="4">
        <v>191.71</v>
      </c>
    </row>
    <row r="311" spans="1:11" x14ac:dyDescent="0.3">
      <c r="A311" s="3">
        <v>45888</v>
      </c>
      <c r="B311" s="10">
        <f>YEAR(Table1[[#This Row],[Order Date]])</f>
        <v>2025</v>
      </c>
      <c r="C311" s="10">
        <f>MONTH(Table1[[#This Row],[Order Date]])</f>
        <v>8</v>
      </c>
      <c r="D311" s="2" t="s">
        <v>94</v>
      </c>
      <c r="E311" s="2" t="s">
        <v>22</v>
      </c>
      <c r="F311" s="2" t="s">
        <v>28</v>
      </c>
      <c r="G311" s="1" t="s">
        <v>137</v>
      </c>
      <c r="H311" s="2" t="s">
        <v>73</v>
      </c>
      <c r="I311" s="5">
        <v>544.49</v>
      </c>
      <c r="J311" s="2">
        <v>2</v>
      </c>
      <c r="K311" s="4">
        <v>72.61</v>
      </c>
    </row>
    <row r="312" spans="1:11" x14ac:dyDescent="0.3">
      <c r="A312" s="3">
        <v>45889</v>
      </c>
      <c r="B312" s="10">
        <f>YEAR(Table1[[#This Row],[Order Date]])</f>
        <v>2025</v>
      </c>
      <c r="C312" s="10">
        <f>MONTH(Table1[[#This Row],[Order Date]])</f>
        <v>8</v>
      </c>
      <c r="D312" s="2" t="s">
        <v>89</v>
      </c>
      <c r="E312" s="2" t="s">
        <v>37</v>
      </c>
      <c r="F312" s="2" t="s">
        <v>19</v>
      </c>
      <c r="G312" s="1" t="s">
        <v>136</v>
      </c>
      <c r="H312" s="2" t="s">
        <v>45</v>
      </c>
      <c r="I312" s="5">
        <v>1111.55</v>
      </c>
      <c r="J312" s="2">
        <v>2</v>
      </c>
      <c r="K312" s="4">
        <v>145.91999999999999</v>
      </c>
    </row>
    <row r="313" spans="1:11" x14ac:dyDescent="0.3">
      <c r="A313" s="3">
        <v>45891</v>
      </c>
      <c r="B313" s="10">
        <f>YEAR(Table1[[#This Row],[Order Date]])</f>
        <v>2025</v>
      </c>
      <c r="C313" s="10">
        <f>MONTH(Table1[[#This Row],[Order Date]])</f>
        <v>8</v>
      </c>
      <c r="D313" s="2" t="s">
        <v>21</v>
      </c>
      <c r="E313" s="2" t="s">
        <v>31</v>
      </c>
      <c r="F313" s="2" t="s">
        <v>10</v>
      </c>
      <c r="G313" s="1" t="s">
        <v>135</v>
      </c>
      <c r="H313" s="2" t="s">
        <v>49</v>
      </c>
      <c r="I313" s="5">
        <v>1066.5</v>
      </c>
      <c r="J313" s="2">
        <v>2</v>
      </c>
      <c r="K313" s="4">
        <v>220.05</v>
      </c>
    </row>
    <row r="314" spans="1:11" x14ac:dyDescent="0.3">
      <c r="A314" s="3">
        <v>45891</v>
      </c>
      <c r="B314" s="10">
        <f>YEAR(Table1[[#This Row],[Order Date]])</f>
        <v>2025</v>
      </c>
      <c r="C314" s="10">
        <f>MONTH(Table1[[#This Row],[Order Date]])</f>
        <v>8</v>
      </c>
      <c r="D314" s="2" t="s">
        <v>110</v>
      </c>
      <c r="E314" s="2" t="s">
        <v>77</v>
      </c>
      <c r="F314" s="2" t="s">
        <v>19</v>
      </c>
      <c r="G314" s="1" t="s">
        <v>136</v>
      </c>
      <c r="H314" s="2" t="s">
        <v>20</v>
      </c>
      <c r="I314" s="5">
        <v>410.75</v>
      </c>
      <c r="J314" s="2">
        <v>1</v>
      </c>
      <c r="K314" s="4">
        <v>20.84</v>
      </c>
    </row>
    <row r="315" spans="1:11" x14ac:dyDescent="0.3">
      <c r="A315" s="3">
        <v>45892</v>
      </c>
      <c r="B315" s="10">
        <f>YEAR(Table1[[#This Row],[Order Date]])</f>
        <v>2025</v>
      </c>
      <c r="C315" s="10">
        <f>MONTH(Table1[[#This Row],[Order Date]])</f>
        <v>8</v>
      </c>
      <c r="D315" s="2" t="s">
        <v>104</v>
      </c>
      <c r="E315" s="2" t="s">
        <v>77</v>
      </c>
      <c r="F315" s="2" t="s">
        <v>19</v>
      </c>
      <c r="G315" s="1" t="s">
        <v>136</v>
      </c>
      <c r="H315" s="2" t="s">
        <v>20</v>
      </c>
      <c r="I315" s="5">
        <v>168.82</v>
      </c>
      <c r="J315" s="2">
        <v>4</v>
      </c>
      <c r="K315" s="4">
        <v>15.16</v>
      </c>
    </row>
    <row r="316" spans="1:11" x14ac:dyDescent="0.3">
      <c r="A316" s="3">
        <v>45894</v>
      </c>
      <c r="B316" s="10">
        <f>YEAR(Table1[[#This Row],[Order Date]])</f>
        <v>2025</v>
      </c>
      <c r="C316" s="10">
        <f>MONTH(Table1[[#This Row],[Order Date]])</f>
        <v>8</v>
      </c>
      <c r="D316" s="2" t="s">
        <v>76</v>
      </c>
      <c r="E316" s="2" t="s">
        <v>77</v>
      </c>
      <c r="F316" s="2" t="s">
        <v>10</v>
      </c>
      <c r="G316" s="1" t="s">
        <v>135</v>
      </c>
      <c r="H316" s="2" t="s">
        <v>49</v>
      </c>
      <c r="I316" s="5">
        <v>482.21</v>
      </c>
      <c r="J316" s="2">
        <v>2</v>
      </c>
      <c r="K316" s="4">
        <v>91.23</v>
      </c>
    </row>
    <row r="317" spans="1:11" x14ac:dyDescent="0.3">
      <c r="A317" s="3">
        <v>45894</v>
      </c>
      <c r="B317" s="10">
        <f>YEAR(Table1[[#This Row],[Order Date]])</f>
        <v>2025</v>
      </c>
      <c r="C317" s="10">
        <f>MONTH(Table1[[#This Row],[Order Date]])</f>
        <v>8</v>
      </c>
      <c r="D317" s="2" t="s">
        <v>85</v>
      </c>
      <c r="E317" s="2" t="s">
        <v>9</v>
      </c>
      <c r="F317" s="2" t="s">
        <v>28</v>
      </c>
      <c r="G317" s="1" t="s">
        <v>137</v>
      </c>
      <c r="H317" s="2" t="s">
        <v>69</v>
      </c>
      <c r="I317" s="5">
        <v>1467.07</v>
      </c>
      <c r="J317" s="2">
        <v>5</v>
      </c>
      <c r="K317" s="4">
        <v>89.18</v>
      </c>
    </row>
    <row r="318" spans="1:11" x14ac:dyDescent="0.3">
      <c r="A318" s="3">
        <v>45894</v>
      </c>
      <c r="B318" s="10">
        <f>YEAR(Table1[[#This Row],[Order Date]])</f>
        <v>2025</v>
      </c>
      <c r="C318" s="10">
        <f>MONTH(Table1[[#This Row],[Order Date]])</f>
        <v>8</v>
      </c>
      <c r="D318" s="2" t="s">
        <v>110</v>
      </c>
      <c r="E318" s="2" t="s">
        <v>39</v>
      </c>
      <c r="F318" s="2" t="s">
        <v>28</v>
      </c>
      <c r="G318" s="1" t="s">
        <v>137</v>
      </c>
      <c r="H318" s="2" t="s">
        <v>58</v>
      </c>
      <c r="I318" s="5">
        <v>1141.78</v>
      </c>
      <c r="J318" s="2">
        <v>1</v>
      </c>
      <c r="K318" s="4">
        <v>191.58</v>
      </c>
    </row>
    <row r="319" spans="1:11" x14ac:dyDescent="0.3">
      <c r="A319" s="3">
        <v>45894</v>
      </c>
      <c r="B319" s="10">
        <f>YEAR(Table1[[#This Row],[Order Date]])</f>
        <v>2025</v>
      </c>
      <c r="C319" s="10">
        <f>MONTH(Table1[[#This Row],[Order Date]])</f>
        <v>8</v>
      </c>
      <c r="D319" s="2" t="s">
        <v>127</v>
      </c>
      <c r="E319" s="2" t="s">
        <v>15</v>
      </c>
      <c r="F319" s="2" t="s">
        <v>10</v>
      </c>
      <c r="G319" s="1" t="s">
        <v>135</v>
      </c>
      <c r="H319" s="2" t="s">
        <v>49</v>
      </c>
      <c r="I319" s="5">
        <v>1413.17</v>
      </c>
      <c r="J319" s="2">
        <v>5</v>
      </c>
      <c r="K319" s="4">
        <v>310.43</v>
      </c>
    </row>
    <row r="320" spans="1:11" x14ac:dyDescent="0.3">
      <c r="A320" s="3">
        <v>45895</v>
      </c>
      <c r="B320" s="10">
        <f>YEAR(Table1[[#This Row],[Order Date]])</f>
        <v>2025</v>
      </c>
      <c r="C320" s="10">
        <f>MONTH(Table1[[#This Row],[Order Date]])</f>
        <v>8</v>
      </c>
      <c r="D320" s="2" t="s">
        <v>67</v>
      </c>
      <c r="E320" s="2" t="s">
        <v>37</v>
      </c>
      <c r="F320" s="2" t="s">
        <v>28</v>
      </c>
      <c r="G320" s="1" t="s">
        <v>137</v>
      </c>
      <c r="H320" s="2" t="s">
        <v>73</v>
      </c>
      <c r="I320" s="5">
        <v>448.75</v>
      </c>
      <c r="J320" s="2">
        <v>4</v>
      </c>
      <c r="K320" s="4">
        <v>131.77000000000001</v>
      </c>
    </row>
    <row r="321" spans="1:11" x14ac:dyDescent="0.3">
      <c r="A321" s="3">
        <v>45895</v>
      </c>
      <c r="B321" s="10">
        <f>YEAR(Table1[[#This Row],[Order Date]])</f>
        <v>2025</v>
      </c>
      <c r="C321" s="10">
        <f>MONTH(Table1[[#This Row],[Order Date]])</f>
        <v>8</v>
      </c>
      <c r="D321" s="2" t="s">
        <v>54</v>
      </c>
      <c r="E321" s="2" t="s">
        <v>15</v>
      </c>
      <c r="F321" s="2" t="s">
        <v>19</v>
      </c>
      <c r="G321" s="1" t="s">
        <v>136</v>
      </c>
      <c r="H321" s="2" t="s">
        <v>65</v>
      </c>
      <c r="I321" s="5">
        <v>662.03</v>
      </c>
      <c r="J321" s="2">
        <v>5</v>
      </c>
      <c r="K321" s="4">
        <v>79.34</v>
      </c>
    </row>
    <row r="322" spans="1:11" x14ac:dyDescent="0.3">
      <c r="A322" s="3">
        <v>45895</v>
      </c>
      <c r="B322" s="10">
        <f>YEAR(Table1[[#This Row],[Order Date]])</f>
        <v>2025</v>
      </c>
      <c r="C322" s="10">
        <f>MONTH(Table1[[#This Row],[Order Date]])</f>
        <v>8</v>
      </c>
      <c r="D322" s="2" t="s">
        <v>33</v>
      </c>
      <c r="E322" s="2" t="s">
        <v>25</v>
      </c>
      <c r="F322" s="2" t="s">
        <v>28</v>
      </c>
      <c r="G322" s="1" t="s">
        <v>137</v>
      </c>
      <c r="H322" s="2" t="s">
        <v>69</v>
      </c>
      <c r="I322" s="5">
        <v>1164.2</v>
      </c>
      <c r="J322" s="2">
        <v>1</v>
      </c>
      <c r="K322" s="4">
        <v>337.57</v>
      </c>
    </row>
    <row r="323" spans="1:11" x14ac:dyDescent="0.3">
      <c r="A323" s="3">
        <v>45895</v>
      </c>
      <c r="B323" s="10">
        <f>YEAR(Table1[[#This Row],[Order Date]])</f>
        <v>2025</v>
      </c>
      <c r="C323" s="10">
        <f>MONTH(Table1[[#This Row],[Order Date]])</f>
        <v>8</v>
      </c>
      <c r="D323" s="2" t="s">
        <v>117</v>
      </c>
      <c r="E323" s="2" t="s">
        <v>77</v>
      </c>
      <c r="F323" s="2" t="s">
        <v>28</v>
      </c>
      <c r="G323" s="1" t="s">
        <v>137</v>
      </c>
      <c r="H323" s="2" t="s">
        <v>73</v>
      </c>
      <c r="I323" s="5">
        <v>268.49</v>
      </c>
      <c r="J323" s="2">
        <v>4</v>
      </c>
      <c r="K323" s="4">
        <v>46.73</v>
      </c>
    </row>
    <row r="324" spans="1:11" x14ac:dyDescent="0.3">
      <c r="A324" s="3">
        <v>45896</v>
      </c>
      <c r="B324" s="10">
        <f>YEAR(Table1[[#This Row],[Order Date]])</f>
        <v>2025</v>
      </c>
      <c r="C324" s="10">
        <f>MONTH(Table1[[#This Row],[Order Date]])</f>
        <v>8</v>
      </c>
      <c r="D324" s="2" t="s">
        <v>100</v>
      </c>
      <c r="E324" s="2" t="s">
        <v>22</v>
      </c>
      <c r="F324" s="2" t="s">
        <v>28</v>
      </c>
      <c r="G324" s="1" t="s">
        <v>137</v>
      </c>
      <c r="H324" s="2" t="s">
        <v>69</v>
      </c>
      <c r="I324" s="5">
        <v>1470.89</v>
      </c>
      <c r="J324" s="2">
        <v>2</v>
      </c>
      <c r="K324" s="4">
        <v>290.47000000000003</v>
      </c>
    </row>
    <row r="325" spans="1:11" x14ac:dyDescent="0.3">
      <c r="A325" s="3">
        <v>45896</v>
      </c>
      <c r="B325" s="10">
        <f>YEAR(Table1[[#This Row],[Order Date]])</f>
        <v>2025</v>
      </c>
      <c r="C325" s="10">
        <f>MONTH(Table1[[#This Row],[Order Date]])</f>
        <v>8</v>
      </c>
      <c r="D325" s="2" t="s">
        <v>105</v>
      </c>
      <c r="E325" s="2" t="s">
        <v>9</v>
      </c>
      <c r="F325" s="2" t="s">
        <v>10</v>
      </c>
      <c r="G325" s="1" t="s">
        <v>135</v>
      </c>
      <c r="H325" s="2" t="s">
        <v>11</v>
      </c>
      <c r="I325" s="5">
        <v>170.96</v>
      </c>
      <c r="J325" s="2">
        <v>2</v>
      </c>
      <c r="K325" s="4">
        <v>28.33</v>
      </c>
    </row>
    <row r="326" spans="1:11" x14ac:dyDescent="0.3">
      <c r="A326" s="3">
        <v>45897</v>
      </c>
      <c r="B326" s="10">
        <f>YEAR(Table1[[#This Row],[Order Date]])</f>
        <v>2025</v>
      </c>
      <c r="C326" s="10">
        <f>MONTH(Table1[[#This Row],[Order Date]])</f>
        <v>8</v>
      </c>
      <c r="D326" s="2" t="s">
        <v>115</v>
      </c>
      <c r="E326" s="2" t="s">
        <v>22</v>
      </c>
      <c r="F326" s="2" t="s">
        <v>10</v>
      </c>
      <c r="G326" s="1" t="s">
        <v>135</v>
      </c>
      <c r="H326" s="2" t="s">
        <v>11</v>
      </c>
      <c r="I326" s="5">
        <v>845.38</v>
      </c>
      <c r="J326" s="2">
        <v>2</v>
      </c>
      <c r="K326" s="4">
        <v>168.94</v>
      </c>
    </row>
    <row r="327" spans="1:11" x14ac:dyDescent="0.3">
      <c r="A327" s="3">
        <v>45898</v>
      </c>
      <c r="B327" s="10">
        <f>YEAR(Table1[[#This Row],[Order Date]])</f>
        <v>2025</v>
      </c>
      <c r="C327" s="10">
        <f>MONTH(Table1[[#This Row],[Order Date]])</f>
        <v>8</v>
      </c>
      <c r="D327" s="2" t="s">
        <v>123</v>
      </c>
      <c r="E327" s="2" t="s">
        <v>34</v>
      </c>
      <c r="F327" s="2" t="s">
        <v>10</v>
      </c>
      <c r="G327" s="1" t="s">
        <v>135</v>
      </c>
      <c r="H327" s="2" t="s">
        <v>11</v>
      </c>
      <c r="I327" s="5">
        <v>1258.3599999999999</v>
      </c>
      <c r="J327" s="2">
        <v>5</v>
      </c>
      <c r="K327" s="4">
        <v>324.23</v>
      </c>
    </row>
    <row r="328" spans="1:11" x14ac:dyDescent="0.3">
      <c r="A328" s="3">
        <v>45899</v>
      </c>
      <c r="B328" s="10">
        <f>YEAR(Table1[[#This Row],[Order Date]])</f>
        <v>2025</v>
      </c>
      <c r="C328" s="10">
        <f>MONTH(Table1[[#This Row],[Order Date]])</f>
        <v>8</v>
      </c>
      <c r="D328" s="2" t="s">
        <v>97</v>
      </c>
      <c r="E328" s="2" t="s">
        <v>34</v>
      </c>
      <c r="F328" s="2" t="s">
        <v>19</v>
      </c>
      <c r="G328" s="1" t="s">
        <v>136</v>
      </c>
      <c r="H328" s="2" t="s">
        <v>65</v>
      </c>
      <c r="I328" s="5">
        <v>1372.47</v>
      </c>
      <c r="J328" s="2">
        <v>2</v>
      </c>
      <c r="K328" s="4">
        <v>207.37</v>
      </c>
    </row>
    <row r="329" spans="1:11" x14ac:dyDescent="0.3">
      <c r="A329" s="3">
        <v>45900</v>
      </c>
      <c r="B329" s="10">
        <f>YEAR(Table1[[#This Row],[Order Date]])</f>
        <v>2025</v>
      </c>
      <c r="C329" s="10">
        <f>MONTH(Table1[[#This Row],[Order Date]])</f>
        <v>8</v>
      </c>
      <c r="D329" s="2" t="s">
        <v>67</v>
      </c>
      <c r="E329" s="2" t="s">
        <v>31</v>
      </c>
      <c r="F329" s="2" t="s">
        <v>19</v>
      </c>
      <c r="G329" s="1" t="s">
        <v>136</v>
      </c>
      <c r="H329" s="2" t="s">
        <v>40</v>
      </c>
      <c r="I329" s="5">
        <v>238.95</v>
      </c>
      <c r="J329" s="2">
        <v>3</v>
      </c>
      <c r="K329" s="4">
        <v>62.41</v>
      </c>
    </row>
    <row r="330" spans="1:11" x14ac:dyDescent="0.3">
      <c r="A330" s="3">
        <v>45900</v>
      </c>
      <c r="B330" s="10">
        <f>YEAR(Table1[[#This Row],[Order Date]])</f>
        <v>2025</v>
      </c>
      <c r="C330" s="10">
        <f>MONTH(Table1[[#This Row],[Order Date]])</f>
        <v>8</v>
      </c>
      <c r="D330" s="2" t="s">
        <v>59</v>
      </c>
      <c r="E330" s="2" t="s">
        <v>22</v>
      </c>
      <c r="F330" s="2" t="s">
        <v>10</v>
      </c>
      <c r="G330" s="1" t="s">
        <v>135</v>
      </c>
      <c r="H330" s="2" t="s">
        <v>11</v>
      </c>
      <c r="I330" s="5">
        <v>1239.32</v>
      </c>
      <c r="J330" s="2">
        <v>1</v>
      </c>
      <c r="K330" s="4">
        <v>259.17</v>
      </c>
    </row>
    <row r="331" spans="1:11" x14ac:dyDescent="0.3">
      <c r="A331" s="3">
        <v>45901</v>
      </c>
      <c r="B331" s="10">
        <f>YEAR(Table1[[#This Row],[Order Date]])</f>
        <v>2025</v>
      </c>
      <c r="C331" s="10">
        <f>MONTH(Table1[[#This Row],[Order Date]])</f>
        <v>9</v>
      </c>
      <c r="D331" s="2" t="s">
        <v>21</v>
      </c>
      <c r="E331" s="2" t="s">
        <v>31</v>
      </c>
      <c r="F331" s="2" t="s">
        <v>10</v>
      </c>
      <c r="G331" s="1" t="s">
        <v>135</v>
      </c>
      <c r="H331" s="2" t="s">
        <v>11</v>
      </c>
      <c r="I331" s="5">
        <v>538.80999999999995</v>
      </c>
      <c r="J331" s="2">
        <v>4</v>
      </c>
      <c r="K331" s="4">
        <v>154.91999999999999</v>
      </c>
    </row>
    <row r="332" spans="1:11" x14ac:dyDescent="0.3">
      <c r="A332" s="3">
        <v>45901</v>
      </c>
      <c r="B332" s="10">
        <f>YEAR(Table1[[#This Row],[Order Date]])</f>
        <v>2025</v>
      </c>
      <c r="C332" s="10">
        <f>MONTH(Table1[[#This Row],[Order Date]])</f>
        <v>9</v>
      </c>
      <c r="D332" s="2" t="s">
        <v>90</v>
      </c>
      <c r="E332" s="2" t="s">
        <v>9</v>
      </c>
      <c r="F332" s="2" t="s">
        <v>10</v>
      </c>
      <c r="G332" s="1" t="s">
        <v>135</v>
      </c>
      <c r="H332" s="2" t="s">
        <v>16</v>
      </c>
      <c r="I332" s="5">
        <v>538.39</v>
      </c>
      <c r="J332" s="2">
        <v>2</v>
      </c>
      <c r="K332" s="4">
        <v>66.8</v>
      </c>
    </row>
    <row r="333" spans="1:11" x14ac:dyDescent="0.3">
      <c r="A333" s="3">
        <v>45902</v>
      </c>
      <c r="B333" s="10">
        <f>YEAR(Table1[[#This Row],[Order Date]])</f>
        <v>2025</v>
      </c>
      <c r="C333" s="10">
        <f>MONTH(Table1[[#This Row],[Order Date]])</f>
        <v>9</v>
      </c>
      <c r="D333" s="2" t="s">
        <v>26</v>
      </c>
      <c r="E333" s="2" t="s">
        <v>39</v>
      </c>
      <c r="F333" s="2" t="s">
        <v>19</v>
      </c>
      <c r="G333" s="1" t="s">
        <v>136</v>
      </c>
      <c r="H333" s="2" t="s">
        <v>20</v>
      </c>
      <c r="I333" s="5">
        <v>893.48</v>
      </c>
      <c r="J333" s="2">
        <v>5</v>
      </c>
      <c r="K333" s="4">
        <v>65.11</v>
      </c>
    </row>
    <row r="334" spans="1:11" x14ac:dyDescent="0.3">
      <c r="A334" s="3">
        <v>45902</v>
      </c>
      <c r="B334" s="10">
        <f>YEAR(Table1[[#This Row],[Order Date]])</f>
        <v>2025</v>
      </c>
      <c r="C334" s="10">
        <f>MONTH(Table1[[#This Row],[Order Date]])</f>
        <v>9</v>
      </c>
      <c r="D334" s="2" t="s">
        <v>125</v>
      </c>
      <c r="E334" s="2" t="s">
        <v>9</v>
      </c>
      <c r="F334" s="2" t="s">
        <v>10</v>
      </c>
      <c r="G334" s="1" t="s">
        <v>135</v>
      </c>
      <c r="H334" s="2" t="s">
        <v>16</v>
      </c>
      <c r="I334" s="5">
        <v>60.94</v>
      </c>
      <c r="J334" s="2">
        <v>2</v>
      </c>
      <c r="K334" s="4">
        <v>4.92</v>
      </c>
    </row>
    <row r="335" spans="1:11" x14ac:dyDescent="0.3">
      <c r="A335" s="3">
        <v>45902</v>
      </c>
      <c r="B335" s="10">
        <f>YEAR(Table1[[#This Row],[Order Date]])</f>
        <v>2025</v>
      </c>
      <c r="C335" s="10">
        <f>MONTH(Table1[[#This Row],[Order Date]])</f>
        <v>9</v>
      </c>
      <c r="D335" s="2" t="s">
        <v>115</v>
      </c>
      <c r="E335" s="2" t="s">
        <v>9</v>
      </c>
      <c r="F335" s="2" t="s">
        <v>28</v>
      </c>
      <c r="G335" s="1" t="s">
        <v>137</v>
      </c>
      <c r="H335" s="2" t="s">
        <v>69</v>
      </c>
      <c r="I335" s="5">
        <v>48.21</v>
      </c>
      <c r="J335" s="2">
        <v>2</v>
      </c>
      <c r="K335" s="4">
        <v>3.72</v>
      </c>
    </row>
    <row r="336" spans="1:11" x14ac:dyDescent="0.3">
      <c r="A336" s="3">
        <v>45902</v>
      </c>
      <c r="B336" s="10">
        <f>YEAR(Table1[[#This Row],[Order Date]])</f>
        <v>2025</v>
      </c>
      <c r="C336" s="10">
        <f>MONTH(Table1[[#This Row],[Order Date]])</f>
        <v>9</v>
      </c>
      <c r="D336" s="2" t="s">
        <v>68</v>
      </c>
      <c r="E336" s="2" t="s">
        <v>77</v>
      </c>
      <c r="F336" s="2" t="s">
        <v>19</v>
      </c>
      <c r="G336" s="1" t="s">
        <v>136</v>
      </c>
      <c r="H336" s="2" t="s">
        <v>20</v>
      </c>
      <c r="I336" s="5">
        <v>897.67</v>
      </c>
      <c r="J336" s="2">
        <v>1</v>
      </c>
      <c r="K336" s="4">
        <v>117.45</v>
      </c>
    </row>
    <row r="337" spans="1:11" x14ac:dyDescent="0.3">
      <c r="A337" s="3">
        <v>45902</v>
      </c>
      <c r="B337" s="10">
        <f>YEAR(Table1[[#This Row],[Order Date]])</f>
        <v>2025</v>
      </c>
      <c r="C337" s="10">
        <f>MONTH(Table1[[#This Row],[Order Date]])</f>
        <v>9</v>
      </c>
      <c r="D337" s="2" t="s">
        <v>131</v>
      </c>
      <c r="E337" s="2" t="s">
        <v>22</v>
      </c>
      <c r="F337" s="2" t="s">
        <v>10</v>
      </c>
      <c r="G337" s="1" t="s">
        <v>135</v>
      </c>
      <c r="H337" s="2" t="s">
        <v>13</v>
      </c>
      <c r="I337" s="5">
        <v>1491.27</v>
      </c>
      <c r="J337" s="2">
        <v>2</v>
      </c>
      <c r="K337" s="4">
        <v>209.88</v>
      </c>
    </row>
    <row r="338" spans="1:11" x14ac:dyDescent="0.3">
      <c r="A338" s="3">
        <v>45902</v>
      </c>
      <c r="B338" s="10">
        <f>YEAR(Table1[[#This Row],[Order Date]])</f>
        <v>2025</v>
      </c>
      <c r="C338" s="10">
        <f>MONTH(Table1[[#This Row],[Order Date]])</f>
        <v>9</v>
      </c>
      <c r="D338" s="2" t="s">
        <v>118</v>
      </c>
      <c r="E338" s="2" t="s">
        <v>34</v>
      </c>
      <c r="F338" s="2" t="s">
        <v>28</v>
      </c>
      <c r="G338" s="1" t="s">
        <v>137</v>
      </c>
      <c r="H338" s="2" t="s">
        <v>73</v>
      </c>
      <c r="I338" s="5">
        <v>877.81</v>
      </c>
      <c r="J338" s="2">
        <v>4</v>
      </c>
      <c r="K338" s="4">
        <v>78.27</v>
      </c>
    </row>
    <row r="339" spans="1:11" x14ac:dyDescent="0.3">
      <c r="A339" s="3">
        <v>45904</v>
      </c>
      <c r="B339" s="10">
        <f>YEAR(Table1[[#This Row],[Order Date]])</f>
        <v>2025</v>
      </c>
      <c r="C339" s="10">
        <f>MONTH(Table1[[#This Row],[Order Date]])</f>
        <v>9</v>
      </c>
      <c r="D339" s="2" t="s">
        <v>91</v>
      </c>
      <c r="E339" s="2" t="s">
        <v>22</v>
      </c>
      <c r="F339" s="2" t="s">
        <v>10</v>
      </c>
      <c r="G339" s="1" t="s">
        <v>135</v>
      </c>
      <c r="H339" s="2" t="s">
        <v>16</v>
      </c>
      <c r="I339" s="5">
        <v>365.51</v>
      </c>
      <c r="J339" s="2">
        <v>5</v>
      </c>
      <c r="K339" s="4">
        <v>85.89</v>
      </c>
    </row>
    <row r="340" spans="1:11" x14ac:dyDescent="0.3">
      <c r="A340" s="3">
        <v>45904</v>
      </c>
      <c r="B340" s="10">
        <f>YEAR(Table1[[#This Row],[Order Date]])</f>
        <v>2025</v>
      </c>
      <c r="C340" s="10">
        <f>MONTH(Table1[[#This Row],[Order Date]])</f>
        <v>9</v>
      </c>
      <c r="D340" s="2" t="s">
        <v>97</v>
      </c>
      <c r="E340" s="2" t="s">
        <v>25</v>
      </c>
      <c r="F340" s="2" t="s">
        <v>19</v>
      </c>
      <c r="G340" s="1" t="s">
        <v>136</v>
      </c>
      <c r="H340" s="2" t="s">
        <v>32</v>
      </c>
      <c r="I340" s="5">
        <v>336.63</v>
      </c>
      <c r="J340" s="2">
        <v>4</v>
      </c>
      <c r="K340" s="4">
        <v>79.47</v>
      </c>
    </row>
    <row r="341" spans="1:11" x14ac:dyDescent="0.3">
      <c r="A341" s="3">
        <v>45905</v>
      </c>
      <c r="B341" s="10">
        <f>YEAR(Table1[[#This Row],[Order Date]])</f>
        <v>2025</v>
      </c>
      <c r="C341" s="10">
        <f>MONTH(Table1[[#This Row],[Order Date]])</f>
        <v>9</v>
      </c>
      <c r="D341" s="2" t="s">
        <v>101</v>
      </c>
      <c r="E341" s="2" t="s">
        <v>39</v>
      </c>
      <c r="F341" s="2" t="s">
        <v>10</v>
      </c>
      <c r="G341" s="1" t="s">
        <v>135</v>
      </c>
      <c r="H341" s="2" t="s">
        <v>11</v>
      </c>
      <c r="I341" s="5">
        <v>1247.68</v>
      </c>
      <c r="J341" s="2">
        <v>5</v>
      </c>
      <c r="K341" s="4">
        <v>190.09</v>
      </c>
    </row>
    <row r="342" spans="1:11" x14ac:dyDescent="0.3">
      <c r="A342" s="3">
        <v>45905</v>
      </c>
      <c r="B342" s="10">
        <f>YEAR(Table1[[#This Row],[Order Date]])</f>
        <v>2025</v>
      </c>
      <c r="C342" s="10">
        <f>MONTH(Table1[[#This Row],[Order Date]])</f>
        <v>9</v>
      </c>
      <c r="D342" s="2" t="s">
        <v>104</v>
      </c>
      <c r="E342" s="2" t="s">
        <v>31</v>
      </c>
      <c r="F342" s="2" t="s">
        <v>10</v>
      </c>
      <c r="G342" s="1" t="s">
        <v>135</v>
      </c>
      <c r="H342" s="2" t="s">
        <v>16</v>
      </c>
      <c r="I342" s="5">
        <v>730.79</v>
      </c>
      <c r="J342" s="2">
        <v>2</v>
      </c>
      <c r="K342" s="4">
        <v>42.24</v>
      </c>
    </row>
    <row r="343" spans="1:11" x14ac:dyDescent="0.3">
      <c r="A343" s="3">
        <v>45906</v>
      </c>
      <c r="B343" s="10">
        <f>YEAR(Table1[[#This Row],[Order Date]])</f>
        <v>2025</v>
      </c>
      <c r="C343" s="10">
        <f>MONTH(Table1[[#This Row],[Order Date]])</f>
        <v>9</v>
      </c>
      <c r="D343" s="2" t="s">
        <v>97</v>
      </c>
      <c r="E343" s="2" t="s">
        <v>22</v>
      </c>
      <c r="F343" s="2" t="s">
        <v>10</v>
      </c>
      <c r="G343" s="1" t="s">
        <v>135</v>
      </c>
      <c r="H343" s="2" t="s">
        <v>49</v>
      </c>
      <c r="I343" s="5">
        <v>426.85</v>
      </c>
      <c r="J343" s="2">
        <v>5</v>
      </c>
      <c r="K343" s="4">
        <v>108.18</v>
      </c>
    </row>
    <row r="344" spans="1:11" x14ac:dyDescent="0.3">
      <c r="A344" s="3">
        <v>45907</v>
      </c>
      <c r="B344" s="10">
        <f>YEAR(Table1[[#This Row],[Order Date]])</f>
        <v>2025</v>
      </c>
      <c r="C344" s="10">
        <f>MONTH(Table1[[#This Row],[Order Date]])</f>
        <v>9</v>
      </c>
      <c r="D344" s="2" t="s">
        <v>92</v>
      </c>
      <c r="E344" s="2" t="s">
        <v>9</v>
      </c>
      <c r="F344" s="2" t="s">
        <v>19</v>
      </c>
      <c r="G344" s="1" t="s">
        <v>136</v>
      </c>
      <c r="H344" s="2" t="s">
        <v>65</v>
      </c>
      <c r="I344" s="5">
        <v>447.3</v>
      </c>
      <c r="J344" s="2">
        <v>1</v>
      </c>
      <c r="K344" s="4">
        <v>66.760000000000005</v>
      </c>
    </row>
    <row r="345" spans="1:11" x14ac:dyDescent="0.3">
      <c r="A345" s="3">
        <v>45908</v>
      </c>
      <c r="B345" s="10">
        <f>YEAR(Table1[[#This Row],[Order Date]])</f>
        <v>2025</v>
      </c>
      <c r="C345" s="10">
        <f>MONTH(Table1[[#This Row],[Order Date]])</f>
        <v>9</v>
      </c>
      <c r="D345" s="2" t="s">
        <v>95</v>
      </c>
      <c r="E345" s="2" t="s">
        <v>37</v>
      </c>
      <c r="F345" s="2" t="s">
        <v>19</v>
      </c>
      <c r="G345" s="1" t="s">
        <v>136</v>
      </c>
      <c r="H345" s="2" t="s">
        <v>40</v>
      </c>
      <c r="I345" s="5">
        <v>613.75</v>
      </c>
      <c r="J345" s="2">
        <v>2</v>
      </c>
      <c r="K345" s="4">
        <v>144.38</v>
      </c>
    </row>
    <row r="346" spans="1:11" x14ac:dyDescent="0.3">
      <c r="A346" s="3">
        <v>45909</v>
      </c>
      <c r="B346" s="10">
        <f>YEAR(Table1[[#This Row],[Order Date]])</f>
        <v>2025</v>
      </c>
      <c r="C346" s="10">
        <f>MONTH(Table1[[#This Row],[Order Date]])</f>
        <v>9</v>
      </c>
      <c r="D346" s="2" t="s">
        <v>113</v>
      </c>
      <c r="E346" s="2" t="s">
        <v>9</v>
      </c>
      <c r="F346" s="2" t="s">
        <v>10</v>
      </c>
      <c r="G346" s="1" t="s">
        <v>135</v>
      </c>
      <c r="H346" s="2" t="s">
        <v>49</v>
      </c>
      <c r="I346" s="5">
        <v>924.98</v>
      </c>
      <c r="J346" s="2">
        <v>5</v>
      </c>
      <c r="K346" s="4">
        <v>152.49</v>
      </c>
    </row>
    <row r="347" spans="1:11" x14ac:dyDescent="0.3">
      <c r="A347" s="3">
        <v>45910</v>
      </c>
      <c r="B347" s="10">
        <f>YEAR(Table1[[#This Row],[Order Date]])</f>
        <v>2025</v>
      </c>
      <c r="C347" s="10">
        <f>MONTH(Table1[[#This Row],[Order Date]])</f>
        <v>9</v>
      </c>
      <c r="D347" s="2" t="s">
        <v>14</v>
      </c>
      <c r="E347" s="2" t="s">
        <v>22</v>
      </c>
      <c r="F347" s="2" t="s">
        <v>10</v>
      </c>
      <c r="G347" s="1" t="s">
        <v>135</v>
      </c>
      <c r="H347" s="2" t="s">
        <v>11</v>
      </c>
      <c r="I347" s="5">
        <v>207.79</v>
      </c>
      <c r="J347" s="2">
        <v>2</v>
      </c>
      <c r="K347" s="4">
        <v>37.21</v>
      </c>
    </row>
    <row r="348" spans="1:11" x14ac:dyDescent="0.3">
      <c r="A348" s="3">
        <v>45910</v>
      </c>
      <c r="B348" s="10">
        <f>YEAR(Table1[[#This Row],[Order Date]])</f>
        <v>2025</v>
      </c>
      <c r="C348" s="10">
        <f>MONTH(Table1[[#This Row],[Order Date]])</f>
        <v>9</v>
      </c>
      <c r="D348" s="2" t="s">
        <v>50</v>
      </c>
      <c r="E348" s="2" t="s">
        <v>18</v>
      </c>
      <c r="F348" s="2" t="s">
        <v>19</v>
      </c>
      <c r="G348" s="1" t="s">
        <v>136</v>
      </c>
      <c r="H348" s="2" t="s">
        <v>65</v>
      </c>
      <c r="I348" s="5">
        <v>716.61</v>
      </c>
      <c r="J348" s="2">
        <v>1</v>
      </c>
      <c r="K348" s="4">
        <v>49.29</v>
      </c>
    </row>
    <row r="349" spans="1:11" x14ac:dyDescent="0.3">
      <c r="A349" s="3">
        <v>45910</v>
      </c>
      <c r="B349" s="10">
        <f>YEAR(Table1[[#This Row],[Order Date]])</f>
        <v>2025</v>
      </c>
      <c r="C349" s="10">
        <f>MONTH(Table1[[#This Row],[Order Date]])</f>
        <v>9</v>
      </c>
      <c r="D349" s="2" t="s">
        <v>121</v>
      </c>
      <c r="E349" s="2" t="s">
        <v>34</v>
      </c>
      <c r="F349" s="2" t="s">
        <v>19</v>
      </c>
      <c r="G349" s="1" t="s">
        <v>136</v>
      </c>
      <c r="H349" s="2" t="s">
        <v>40</v>
      </c>
      <c r="I349" s="5">
        <v>724.87</v>
      </c>
      <c r="J349" s="2">
        <v>4</v>
      </c>
      <c r="K349" s="4">
        <v>214.58</v>
      </c>
    </row>
    <row r="350" spans="1:11" x14ac:dyDescent="0.3">
      <c r="A350" s="3">
        <v>45916</v>
      </c>
      <c r="B350" s="10">
        <f>YEAR(Table1[[#This Row],[Order Date]])</f>
        <v>2025</v>
      </c>
      <c r="C350" s="10">
        <f>MONTH(Table1[[#This Row],[Order Date]])</f>
        <v>9</v>
      </c>
      <c r="D350" s="2" t="s">
        <v>124</v>
      </c>
      <c r="E350" s="2" t="s">
        <v>31</v>
      </c>
      <c r="F350" s="2" t="s">
        <v>19</v>
      </c>
      <c r="G350" s="1" t="s">
        <v>136</v>
      </c>
      <c r="H350" s="2" t="s">
        <v>65</v>
      </c>
      <c r="I350" s="5">
        <v>933.19</v>
      </c>
      <c r="J350" s="2">
        <v>4</v>
      </c>
      <c r="K350" s="4">
        <v>88.96</v>
      </c>
    </row>
    <row r="351" spans="1:11" x14ac:dyDescent="0.3">
      <c r="A351" s="3">
        <v>45917</v>
      </c>
      <c r="B351" s="10">
        <f>YEAR(Table1[[#This Row],[Order Date]])</f>
        <v>2025</v>
      </c>
      <c r="C351" s="10">
        <f>MONTH(Table1[[#This Row],[Order Date]])</f>
        <v>9</v>
      </c>
      <c r="D351" s="2" t="s">
        <v>80</v>
      </c>
      <c r="E351" s="2" t="s">
        <v>77</v>
      </c>
      <c r="F351" s="2" t="s">
        <v>19</v>
      </c>
      <c r="G351" s="1" t="s">
        <v>136</v>
      </c>
      <c r="H351" s="2" t="s">
        <v>32</v>
      </c>
      <c r="I351" s="5">
        <v>1014.71</v>
      </c>
      <c r="J351" s="2">
        <v>2</v>
      </c>
      <c r="K351" s="4">
        <v>270.94</v>
      </c>
    </row>
    <row r="352" spans="1:11" x14ac:dyDescent="0.3">
      <c r="A352" s="3">
        <v>45918</v>
      </c>
      <c r="B352" s="10">
        <f>YEAR(Table1[[#This Row],[Order Date]])</f>
        <v>2025</v>
      </c>
      <c r="C352" s="10">
        <f>MONTH(Table1[[#This Row],[Order Date]])</f>
        <v>9</v>
      </c>
      <c r="D352" s="2" t="s">
        <v>56</v>
      </c>
      <c r="E352" s="2" t="s">
        <v>77</v>
      </c>
      <c r="F352" s="2" t="s">
        <v>28</v>
      </c>
      <c r="G352" s="1" t="s">
        <v>137</v>
      </c>
      <c r="H352" s="2" t="s">
        <v>58</v>
      </c>
      <c r="I352" s="5">
        <v>859.39</v>
      </c>
      <c r="J352" s="2">
        <v>2</v>
      </c>
      <c r="K352" s="4">
        <v>175.1</v>
      </c>
    </row>
    <row r="353" spans="1:11" x14ac:dyDescent="0.3">
      <c r="A353" s="3">
        <v>45918</v>
      </c>
      <c r="B353" s="10">
        <f>YEAR(Table1[[#This Row],[Order Date]])</f>
        <v>2025</v>
      </c>
      <c r="C353" s="10">
        <f>MONTH(Table1[[#This Row],[Order Date]])</f>
        <v>9</v>
      </c>
      <c r="D353" s="2" t="s">
        <v>68</v>
      </c>
      <c r="E353" s="2" t="s">
        <v>22</v>
      </c>
      <c r="F353" s="2" t="s">
        <v>28</v>
      </c>
      <c r="G353" s="1" t="s">
        <v>137</v>
      </c>
      <c r="H353" s="2" t="s">
        <v>58</v>
      </c>
      <c r="I353" s="5">
        <v>1278.25</v>
      </c>
      <c r="J353" s="2">
        <v>2</v>
      </c>
      <c r="K353" s="4">
        <v>322.61</v>
      </c>
    </row>
    <row r="354" spans="1:11" x14ac:dyDescent="0.3">
      <c r="A354" s="3">
        <v>45918</v>
      </c>
      <c r="B354" s="10">
        <f>YEAR(Table1[[#This Row],[Order Date]])</f>
        <v>2025</v>
      </c>
      <c r="C354" s="10">
        <f>MONTH(Table1[[#This Row],[Order Date]])</f>
        <v>9</v>
      </c>
      <c r="D354" s="2" t="s">
        <v>130</v>
      </c>
      <c r="E354" s="2" t="s">
        <v>34</v>
      </c>
      <c r="F354" s="2" t="s">
        <v>19</v>
      </c>
      <c r="G354" s="1" t="s">
        <v>136</v>
      </c>
      <c r="H354" s="2" t="s">
        <v>20</v>
      </c>
      <c r="I354" s="5">
        <v>789.85</v>
      </c>
      <c r="J354" s="2">
        <v>5</v>
      </c>
      <c r="K354" s="4">
        <v>84.4</v>
      </c>
    </row>
    <row r="355" spans="1:11" x14ac:dyDescent="0.3">
      <c r="A355" s="3">
        <v>45919</v>
      </c>
      <c r="B355" s="10">
        <f>YEAR(Table1[[#This Row],[Order Date]])</f>
        <v>2025</v>
      </c>
      <c r="C355" s="10">
        <f>MONTH(Table1[[#This Row],[Order Date]])</f>
        <v>9</v>
      </c>
      <c r="D355" s="2" t="s">
        <v>88</v>
      </c>
      <c r="E355" s="2" t="s">
        <v>31</v>
      </c>
      <c r="F355" s="2" t="s">
        <v>19</v>
      </c>
      <c r="G355" s="1" t="s">
        <v>136</v>
      </c>
      <c r="H355" s="2" t="s">
        <v>40</v>
      </c>
      <c r="I355" s="5">
        <v>728.24</v>
      </c>
      <c r="J355" s="2">
        <v>3</v>
      </c>
      <c r="K355" s="4">
        <v>117.88</v>
      </c>
    </row>
    <row r="356" spans="1:11" x14ac:dyDescent="0.3">
      <c r="A356" s="3">
        <v>45920</v>
      </c>
      <c r="B356" s="10">
        <f>YEAR(Table1[[#This Row],[Order Date]])</f>
        <v>2025</v>
      </c>
      <c r="C356" s="10">
        <f>MONTH(Table1[[#This Row],[Order Date]])</f>
        <v>9</v>
      </c>
      <c r="D356" s="2" t="s">
        <v>104</v>
      </c>
      <c r="E356" s="2" t="s">
        <v>34</v>
      </c>
      <c r="F356" s="2" t="s">
        <v>28</v>
      </c>
      <c r="G356" s="1" t="s">
        <v>137</v>
      </c>
      <c r="H356" s="2" t="s">
        <v>58</v>
      </c>
      <c r="I356" s="5">
        <v>601.77</v>
      </c>
      <c r="J356" s="2">
        <v>1</v>
      </c>
      <c r="K356" s="4">
        <v>141.03</v>
      </c>
    </row>
    <row r="357" spans="1:11" x14ac:dyDescent="0.3">
      <c r="A357" s="3">
        <v>45921</v>
      </c>
      <c r="B357" s="10">
        <f>YEAR(Table1[[#This Row],[Order Date]])</f>
        <v>2025</v>
      </c>
      <c r="C357" s="10">
        <f>MONTH(Table1[[#This Row],[Order Date]])</f>
        <v>9</v>
      </c>
      <c r="D357" s="2" t="s">
        <v>85</v>
      </c>
      <c r="E357" s="2" t="s">
        <v>22</v>
      </c>
      <c r="F357" s="2" t="s">
        <v>28</v>
      </c>
      <c r="G357" s="1" t="s">
        <v>137</v>
      </c>
      <c r="H357" s="2" t="s">
        <v>58</v>
      </c>
      <c r="I357" s="5">
        <v>1108.8800000000001</v>
      </c>
      <c r="J357" s="2">
        <v>1</v>
      </c>
      <c r="K357" s="4">
        <v>218.19</v>
      </c>
    </row>
    <row r="358" spans="1:11" x14ac:dyDescent="0.3">
      <c r="A358" s="3">
        <v>45921</v>
      </c>
      <c r="B358" s="10">
        <f>YEAR(Table1[[#This Row],[Order Date]])</f>
        <v>2025</v>
      </c>
      <c r="C358" s="10">
        <f>MONTH(Table1[[#This Row],[Order Date]])</f>
        <v>9</v>
      </c>
      <c r="D358" s="2" t="s">
        <v>60</v>
      </c>
      <c r="E358" s="2" t="s">
        <v>31</v>
      </c>
      <c r="F358" s="2" t="s">
        <v>19</v>
      </c>
      <c r="G358" s="1" t="s">
        <v>136</v>
      </c>
      <c r="H358" s="2" t="s">
        <v>32</v>
      </c>
      <c r="I358" s="5">
        <v>682.57</v>
      </c>
      <c r="J358" s="2">
        <v>5</v>
      </c>
      <c r="K358" s="4">
        <v>152.5</v>
      </c>
    </row>
    <row r="359" spans="1:11" x14ac:dyDescent="0.3">
      <c r="A359" s="3">
        <v>45921</v>
      </c>
      <c r="B359" s="10">
        <f>YEAR(Table1[[#This Row],[Order Date]])</f>
        <v>2025</v>
      </c>
      <c r="C359" s="10">
        <f>MONTH(Table1[[#This Row],[Order Date]])</f>
        <v>9</v>
      </c>
      <c r="D359" s="2" t="s">
        <v>78</v>
      </c>
      <c r="E359" s="2" t="s">
        <v>9</v>
      </c>
      <c r="F359" s="2" t="s">
        <v>28</v>
      </c>
      <c r="G359" s="1" t="s">
        <v>137</v>
      </c>
      <c r="H359" s="2" t="s">
        <v>35</v>
      </c>
      <c r="I359" s="5">
        <v>1351.12</v>
      </c>
      <c r="J359" s="2">
        <v>5</v>
      </c>
      <c r="K359" s="4">
        <v>192.67</v>
      </c>
    </row>
    <row r="360" spans="1:11" x14ac:dyDescent="0.3">
      <c r="A360" s="3">
        <v>45923</v>
      </c>
      <c r="B360" s="10">
        <f>YEAR(Table1[[#This Row],[Order Date]])</f>
        <v>2025</v>
      </c>
      <c r="C360" s="10">
        <f>MONTH(Table1[[#This Row],[Order Date]])</f>
        <v>9</v>
      </c>
      <c r="D360" s="2" t="s">
        <v>64</v>
      </c>
      <c r="E360" s="2" t="s">
        <v>37</v>
      </c>
      <c r="F360" s="2" t="s">
        <v>10</v>
      </c>
      <c r="G360" s="1" t="s">
        <v>135</v>
      </c>
      <c r="H360" s="2" t="s">
        <v>23</v>
      </c>
      <c r="I360" s="5">
        <v>354.3</v>
      </c>
      <c r="J360" s="2">
        <v>3</v>
      </c>
      <c r="K360" s="4">
        <v>62.49</v>
      </c>
    </row>
    <row r="361" spans="1:11" x14ac:dyDescent="0.3">
      <c r="A361" s="3">
        <v>45925</v>
      </c>
      <c r="B361" s="10">
        <f>YEAR(Table1[[#This Row],[Order Date]])</f>
        <v>2025</v>
      </c>
      <c r="C361" s="10">
        <f>MONTH(Table1[[#This Row],[Order Date]])</f>
        <v>9</v>
      </c>
      <c r="D361" s="2" t="s">
        <v>62</v>
      </c>
      <c r="E361" s="2" t="s">
        <v>31</v>
      </c>
      <c r="F361" s="2" t="s">
        <v>28</v>
      </c>
      <c r="G361" s="1" t="s">
        <v>137</v>
      </c>
      <c r="H361" s="2" t="s">
        <v>58</v>
      </c>
      <c r="I361" s="5">
        <v>372.33</v>
      </c>
      <c r="J361" s="2">
        <v>3</v>
      </c>
      <c r="K361" s="4">
        <v>108.22</v>
      </c>
    </row>
    <row r="362" spans="1:11" x14ac:dyDescent="0.3">
      <c r="A362" s="3">
        <v>45926</v>
      </c>
      <c r="B362" s="10">
        <f>YEAR(Table1[[#This Row],[Order Date]])</f>
        <v>2025</v>
      </c>
      <c r="C362" s="10">
        <f>MONTH(Table1[[#This Row],[Order Date]])</f>
        <v>9</v>
      </c>
      <c r="D362" s="2" t="s">
        <v>87</v>
      </c>
      <c r="E362" s="2" t="s">
        <v>25</v>
      </c>
      <c r="F362" s="2" t="s">
        <v>19</v>
      </c>
      <c r="G362" s="1" t="s">
        <v>136</v>
      </c>
      <c r="H362" s="2" t="s">
        <v>45</v>
      </c>
      <c r="I362" s="5">
        <v>35.57</v>
      </c>
      <c r="J362" s="2">
        <v>2</v>
      </c>
      <c r="K362" s="4">
        <v>6.15</v>
      </c>
    </row>
    <row r="363" spans="1:11" x14ac:dyDescent="0.3">
      <c r="A363" s="3">
        <v>45927</v>
      </c>
      <c r="B363" s="10">
        <f>YEAR(Table1[[#This Row],[Order Date]])</f>
        <v>2025</v>
      </c>
      <c r="C363" s="10">
        <f>MONTH(Table1[[#This Row],[Order Date]])</f>
        <v>9</v>
      </c>
      <c r="D363" s="2" t="s">
        <v>107</v>
      </c>
      <c r="E363" s="2" t="s">
        <v>15</v>
      </c>
      <c r="F363" s="2" t="s">
        <v>19</v>
      </c>
      <c r="G363" s="1" t="s">
        <v>136</v>
      </c>
      <c r="H363" s="2" t="s">
        <v>45</v>
      </c>
      <c r="I363" s="5">
        <v>320.68</v>
      </c>
      <c r="J363" s="2">
        <v>1</v>
      </c>
      <c r="K363" s="4">
        <v>25.36</v>
      </c>
    </row>
    <row r="364" spans="1:11" x14ac:dyDescent="0.3">
      <c r="A364" s="3">
        <v>45928</v>
      </c>
      <c r="B364" s="10">
        <f>YEAR(Table1[[#This Row],[Order Date]])</f>
        <v>2025</v>
      </c>
      <c r="C364" s="10">
        <f>MONTH(Table1[[#This Row],[Order Date]])</f>
        <v>9</v>
      </c>
      <c r="D364" s="2" t="s">
        <v>84</v>
      </c>
      <c r="E364" s="2" t="s">
        <v>39</v>
      </c>
      <c r="F364" s="2" t="s">
        <v>19</v>
      </c>
      <c r="G364" s="1" t="s">
        <v>136</v>
      </c>
      <c r="H364" s="2" t="s">
        <v>40</v>
      </c>
      <c r="I364" s="5">
        <v>1477.41</v>
      </c>
      <c r="J364" s="2">
        <v>4</v>
      </c>
      <c r="K364" s="4">
        <v>119.91</v>
      </c>
    </row>
    <row r="365" spans="1:11" x14ac:dyDescent="0.3">
      <c r="A365" s="3">
        <v>45929</v>
      </c>
      <c r="B365" s="10">
        <f>YEAR(Table1[[#This Row],[Order Date]])</f>
        <v>2025</v>
      </c>
      <c r="C365" s="10">
        <f>MONTH(Table1[[#This Row],[Order Date]])</f>
        <v>9</v>
      </c>
      <c r="D365" s="2" t="s">
        <v>81</v>
      </c>
      <c r="E365" s="2" t="s">
        <v>31</v>
      </c>
      <c r="F365" s="2" t="s">
        <v>19</v>
      </c>
      <c r="G365" s="1" t="s">
        <v>136</v>
      </c>
      <c r="H365" s="2" t="s">
        <v>20</v>
      </c>
      <c r="I365" s="5">
        <v>202.45</v>
      </c>
      <c r="J365" s="2">
        <v>3</v>
      </c>
      <c r="K365" s="4">
        <v>24.03</v>
      </c>
    </row>
    <row r="366" spans="1:11" x14ac:dyDescent="0.3">
      <c r="A366" s="3">
        <v>45932</v>
      </c>
      <c r="B366" s="10">
        <f>YEAR(Table1[[#This Row],[Order Date]])</f>
        <v>2025</v>
      </c>
      <c r="C366" s="10">
        <f>MONTH(Table1[[#This Row],[Order Date]])</f>
        <v>10</v>
      </c>
      <c r="D366" s="2" t="s">
        <v>59</v>
      </c>
      <c r="E366" s="2" t="s">
        <v>22</v>
      </c>
      <c r="F366" s="2" t="s">
        <v>28</v>
      </c>
      <c r="G366" s="1" t="s">
        <v>137</v>
      </c>
      <c r="H366" s="2" t="s">
        <v>29</v>
      </c>
      <c r="I366" s="5">
        <v>869.59</v>
      </c>
      <c r="J366" s="2">
        <v>1</v>
      </c>
      <c r="K366" s="4">
        <v>85.92</v>
      </c>
    </row>
    <row r="367" spans="1:11" x14ac:dyDescent="0.3">
      <c r="A367" s="3">
        <v>45932</v>
      </c>
      <c r="B367" s="10">
        <f>YEAR(Table1[[#This Row],[Order Date]])</f>
        <v>2025</v>
      </c>
      <c r="C367" s="10">
        <f>MONTH(Table1[[#This Row],[Order Date]])</f>
        <v>10</v>
      </c>
      <c r="D367" s="2" t="s">
        <v>17</v>
      </c>
      <c r="E367" s="2" t="s">
        <v>9</v>
      </c>
      <c r="F367" s="2" t="s">
        <v>10</v>
      </c>
      <c r="G367" s="1" t="s">
        <v>135</v>
      </c>
      <c r="H367" s="2" t="s">
        <v>13</v>
      </c>
      <c r="I367" s="5">
        <v>367.28</v>
      </c>
      <c r="J367" s="2">
        <v>1</v>
      </c>
      <c r="K367" s="4">
        <v>78.98</v>
      </c>
    </row>
    <row r="368" spans="1:11" x14ac:dyDescent="0.3">
      <c r="A368" s="3">
        <v>45933</v>
      </c>
      <c r="B368" s="10">
        <f>YEAR(Table1[[#This Row],[Order Date]])</f>
        <v>2025</v>
      </c>
      <c r="C368" s="10">
        <f>MONTH(Table1[[#This Row],[Order Date]])</f>
        <v>10</v>
      </c>
      <c r="D368" s="2" t="s">
        <v>79</v>
      </c>
      <c r="E368" s="2" t="s">
        <v>22</v>
      </c>
      <c r="F368" s="2" t="s">
        <v>19</v>
      </c>
      <c r="G368" s="1" t="s">
        <v>136</v>
      </c>
      <c r="H368" s="2" t="s">
        <v>45</v>
      </c>
      <c r="I368" s="5">
        <v>1199.46</v>
      </c>
      <c r="J368" s="2">
        <v>1</v>
      </c>
      <c r="K368" s="4">
        <v>81.25</v>
      </c>
    </row>
    <row r="369" spans="1:11" x14ac:dyDescent="0.3">
      <c r="A369" s="3">
        <v>45933</v>
      </c>
      <c r="B369" s="10">
        <f>YEAR(Table1[[#This Row],[Order Date]])</f>
        <v>2025</v>
      </c>
      <c r="C369" s="10">
        <f>MONTH(Table1[[#This Row],[Order Date]])</f>
        <v>10</v>
      </c>
      <c r="D369" s="2" t="s">
        <v>67</v>
      </c>
      <c r="E369" s="2" t="s">
        <v>77</v>
      </c>
      <c r="F369" s="2" t="s">
        <v>19</v>
      </c>
      <c r="G369" s="1" t="s">
        <v>136</v>
      </c>
      <c r="H369" s="2" t="s">
        <v>20</v>
      </c>
      <c r="I369" s="5">
        <v>835.8</v>
      </c>
      <c r="J369" s="2">
        <v>2</v>
      </c>
      <c r="K369" s="4">
        <v>200.8</v>
      </c>
    </row>
    <row r="370" spans="1:11" x14ac:dyDescent="0.3">
      <c r="A370" s="3">
        <v>45933</v>
      </c>
      <c r="B370" s="10">
        <f>YEAR(Table1[[#This Row],[Order Date]])</f>
        <v>2025</v>
      </c>
      <c r="C370" s="10">
        <f>MONTH(Table1[[#This Row],[Order Date]])</f>
        <v>10</v>
      </c>
      <c r="D370" s="2" t="s">
        <v>95</v>
      </c>
      <c r="E370" s="2" t="s">
        <v>37</v>
      </c>
      <c r="F370" s="2" t="s">
        <v>28</v>
      </c>
      <c r="G370" s="1" t="s">
        <v>137</v>
      </c>
      <c r="H370" s="2" t="s">
        <v>35</v>
      </c>
      <c r="I370" s="5">
        <v>742.21</v>
      </c>
      <c r="J370" s="2">
        <v>3</v>
      </c>
      <c r="K370" s="4">
        <v>74.819999999999993</v>
      </c>
    </row>
    <row r="371" spans="1:11" x14ac:dyDescent="0.3">
      <c r="A371" s="3">
        <v>45935</v>
      </c>
      <c r="B371" s="10">
        <f>YEAR(Table1[[#This Row],[Order Date]])</f>
        <v>2025</v>
      </c>
      <c r="C371" s="10">
        <f>MONTH(Table1[[#This Row],[Order Date]])</f>
        <v>10</v>
      </c>
      <c r="D371" s="2" t="s">
        <v>121</v>
      </c>
      <c r="E371" s="2" t="s">
        <v>39</v>
      </c>
      <c r="F371" s="2" t="s">
        <v>19</v>
      </c>
      <c r="G371" s="1" t="s">
        <v>136</v>
      </c>
      <c r="H371" s="2" t="s">
        <v>20</v>
      </c>
      <c r="I371" s="5">
        <v>1366.41</v>
      </c>
      <c r="J371" s="2">
        <v>1</v>
      </c>
      <c r="K371" s="4">
        <v>105.71</v>
      </c>
    </row>
    <row r="372" spans="1:11" x14ac:dyDescent="0.3">
      <c r="A372" s="3">
        <v>45937</v>
      </c>
      <c r="B372" s="10">
        <f>YEAR(Table1[[#This Row],[Order Date]])</f>
        <v>2025</v>
      </c>
      <c r="C372" s="10">
        <f>MONTH(Table1[[#This Row],[Order Date]])</f>
        <v>10</v>
      </c>
      <c r="D372" s="2" t="s">
        <v>70</v>
      </c>
      <c r="E372" s="2" t="s">
        <v>15</v>
      </c>
      <c r="F372" s="2" t="s">
        <v>10</v>
      </c>
      <c r="G372" s="1" t="s">
        <v>135</v>
      </c>
      <c r="H372" s="2" t="s">
        <v>16</v>
      </c>
      <c r="I372" s="5">
        <v>511.89</v>
      </c>
      <c r="J372" s="2">
        <v>1</v>
      </c>
      <c r="K372" s="4">
        <v>130.41</v>
      </c>
    </row>
    <row r="373" spans="1:11" x14ac:dyDescent="0.3">
      <c r="A373" s="3">
        <v>45938</v>
      </c>
      <c r="B373" s="10">
        <f>YEAR(Table1[[#This Row],[Order Date]])</f>
        <v>2025</v>
      </c>
      <c r="C373" s="10">
        <f>MONTH(Table1[[#This Row],[Order Date]])</f>
        <v>10</v>
      </c>
      <c r="D373" s="2" t="s">
        <v>90</v>
      </c>
      <c r="E373" s="2" t="s">
        <v>39</v>
      </c>
      <c r="F373" s="2" t="s">
        <v>19</v>
      </c>
      <c r="G373" s="1" t="s">
        <v>136</v>
      </c>
      <c r="H373" s="2" t="s">
        <v>40</v>
      </c>
      <c r="I373" s="5">
        <v>1451.7</v>
      </c>
      <c r="J373" s="2">
        <v>4</v>
      </c>
      <c r="K373" s="4">
        <v>136.97999999999999</v>
      </c>
    </row>
    <row r="374" spans="1:11" x14ac:dyDescent="0.3">
      <c r="A374" s="3">
        <v>45938</v>
      </c>
      <c r="B374" s="10">
        <f>YEAR(Table1[[#This Row],[Order Date]])</f>
        <v>2025</v>
      </c>
      <c r="C374" s="10">
        <f>MONTH(Table1[[#This Row],[Order Date]])</f>
        <v>10</v>
      </c>
      <c r="D374" s="2" t="s">
        <v>110</v>
      </c>
      <c r="E374" s="2" t="s">
        <v>34</v>
      </c>
      <c r="F374" s="2" t="s">
        <v>19</v>
      </c>
      <c r="G374" s="1" t="s">
        <v>136</v>
      </c>
      <c r="H374" s="2" t="s">
        <v>20</v>
      </c>
      <c r="I374" s="5">
        <v>42.83</v>
      </c>
      <c r="J374" s="2">
        <v>5</v>
      </c>
      <c r="K374" s="4">
        <v>4.55</v>
      </c>
    </row>
    <row r="375" spans="1:11" x14ac:dyDescent="0.3">
      <c r="A375" s="3">
        <v>45939</v>
      </c>
      <c r="B375" s="10">
        <f>YEAR(Table1[[#This Row],[Order Date]])</f>
        <v>2025</v>
      </c>
      <c r="C375" s="10">
        <f>MONTH(Table1[[#This Row],[Order Date]])</f>
        <v>10</v>
      </c>
      <c r="D375" s="2" t="s">
        <v>61</v>
      </c>
      <c r="E375" s="2" t="s">
        <v>31</v>
      </c>
      <c r="F375" s="2" t="s">
        <v>28</v>
      </c>
      <c r="G375" s="1" t="s">
        <v>137</v>
      </c>
      <c r="H375" s="2" t="s">
        <v>69</v>
      </c>
      <c r="I375" s="5">
        <v>169.07</v>
      </c>
      <c r="J375" s="2">
        <v>5</v>
      </c>
      <c r="K375" s="4">
        <v>20.18</v>
      </c>
    </row>
    <row r="376" spans="1:11" x14ac:dyDescent="0.3">
      <c r="A376" s="3">
        <v>45940</v>
      </c>
      <c r="B376" s="10">
        <f>YEAR(Table1[[#This Row],[Order Date]])</f>
        <v>2025</v>
      </c>
      <c r="C376" s="10">
        <f>MONTH(Table1[[#This Row],[Order Date]])</f>
        <v>10</v>
      </c>
      <c r="D376" s="2" t="s">
        <v>60</v>
      </c>
      <c r="E376" s="2" t="s">
        <v>9</v>
      </c>
      <c r="F376" s="2" t="s">
        <v>10</v>
      </c>
      <c r="G376" s="1" t="s">
        <v>135</v>
      </c>
      <c r="H376" s="2" t="s">
        <v>23</v>
      </c>
      <c r="I376" s="5">
        <v>1044.28</v>
      </c>
      <c r="J376" s="2">
        <v>1</v>
      </c>
      <c r="K376" s="4">
        <v>108.48</v>
      </c>
    </row>
    <row r="377" spans="1:11" x14ac:dyDescent="0.3">
      <c r="A377" s="3">
        <v>45942</v>
      </c>
      <c r="B377" s="10">
        <f>YEAR(Table1[[#This Row],[Order Date]])</f>
        <v>2025</v>
      </c>
      <c r="C377" s="10">
        <f>MONTH(Table1[[#This Row],[Order Date]])</f>
        <v>10</v>
      </c>
      <c r="D377" s="2" t="s">
        <v>64</v>
      </c>
      <c r="E377" s="2" t="s">
        <v>25</v>
      </c>
      <c r="F377" s="2" t="s">
        <v>19</v>
      </c>
      <c r="G377" s="1" t="s">
        <v>136</v>
      </c>
      <c r="H377" s="2" t="s">
        <v>32</v>
      </c>
      <c r="I377" s="5">
        <v>452.71</v>
      </c>
      <c r="J377" s="2">
        <v>3</v>
      </c>
      <c r="K377" s="4">
        <v>130.08000000000001</v>
      </c>
    </row>
    <row r="378" spans="1:11" x14ac:dyDescent="0.3">
      <c r="A378" s="3">
        <v>45942</v>
      </c>
      <c r="B378" s="10">
        <f>YEAR(Table1[[#This Row],[Order Date]])</f>
        <v>2025</v>
      </c>
      <c r="C378" s="10">
        <f>MONTH(Table1[[#This Row],[Order Date]])</f>
        <v>10</v>
      </c>
      <c r="D378" s="2" t="s">
        <v>131</v>
      </c>
      <c r="E378" s="2" t="s">
        <v>15</v>
      </c>
      <c r="F378" s="2" t="s">
        <v>28</v>
      </c>
      <c r="G378" s="1" t="s">
        <v>137</v>
      </c>
      <c r="H378" s="2" t="s">
        <v>35</v>
      </c>
      <c r="I378" s="5">
        <v>1001.29</v>
      </c>
      <c r="J378" s="2">
        <v>1</v>
      </c>
      <c r="K378" s="4">
        <v>164.27</v>
      </c>
    </row>
    <row r="379" spans="1:11" x14ac:dyDescent="0.3">
      <c r="A379" s="3">
        <v>45943</v>
      </c>
      <c r="B379" s="10">
        <f>YEAR(Table1[[#This Row],[Order Date]])</f>
        <v>2025</v>
      </c>
      <c r="C379" s="10">
        <f>MONTH(Table1[[#This Row],[Order Date]])</f>
        <v>10</v>
      </c>
      <c r="D379" s="2" t="s">
        <v>83</v>
      </c>
      <c r="E379" s="2" t="s">
        <v>18</v>
      </c>
      <c r="F379" s="2" t="s">
        <v>28</v>
      </c>
      <c r="G379" s="1" t="s">
        <v>137</v>
      </c>
      <c r="H379" s="2" t="s">
        <v>29</v>
      </c>
      <c r="I379" s="5">
        <v>1035.8599999999999</v>
      </c>
      <c r="J379" s="2">
        <v>1</v>
      </c>
      <c r="K379" s="4">
        <v>96.67</v>
      </c>
    </row>
    <row r="380" spans="1:11" x14ac:dyDescent="0.3">
      <c r="A380" s="3">
        <v>45944</v>
      </c>
      <c r="B380" s="10">
        <f>YEAR(Table1[[#This Row],[Order Date]])</f>
        <v>2025</v>
      </c>
      <c r="C380" s="10">
        <f>MONTH(Table1[[#This Row],[Order Date]])</f>
        <v>10</v>
      </c>
      <c r="D380" s="2" t="s">
        <v>47</v>
      </c>
      <c r="E380" s="2" t="s">
        <v>25</v>
      </c>
      <c r="F380" s="2" t="s">
        <v>19</v>
      </c>
      <c r="G380" s="1" t="s">
        <v>136</v>
      </c>
      <c r="H380" s="2" t="s">
        <v>32</v>
      </c>
      <c r="I380" s="5">
        <v>1143.57</v>
      </c>
      <c r="J380" s="2">
        <v>2</v>
      </c>
      <c r="K380" s="4">
        <v>124.64</v>
      </c>
    </row>
    <row r="381" spans="1:11" x14ac:dyDescent="0.3">
      <c r="A381" s="3">
        <v>45944</v>
      </c>
      <c r="B381" s="10">
        <f>YEAR(Table1[[#This Row],[Order Date]])</f>
        <v>2025</v>
      </c>
      <c r="C381" s="10">
        <f>MONTH(Table1[[#This Row],[Order Date]])</f>
        <v>10</v>
      </c>
      <c r="D381" s="2" t="s">
        <v>70</v>
      </c>
      <c r="E381" s="2" t="s">
        <v>15</v>
      </c>
      <c r="F381" s="2" t="s">
        <v>10</v>
      </c>
      <c r="G381" s="1" t="s">
        <v>135</v>
      </c>
      <c r="H381" s="2" t="s">
        <v>49</v>
      </c>
      <c r="I381" s="5">
        <v>741.22</v>
      </c>
      <c r="J381" s="2">
        <v>3</v>
      </c>
      <c r="K381" s="4">
        <v>189.17</v>
      </c>
    </row>
    <row r="382" spans="1:11" x14ac:dyDescent="0.3">
      <c r="A382" s="3">
        <v>45944</v>
      </c>
      <c r="B382" s="10">
        <f>YEAR(Table1[[#This Row],[Order Date]])</f>
        <v>2025</v>
      </c>
      <c r="C382" s="10">
        <f>MONTH(Table1[[#This Row],[Order Date]])</f>
        <v>10</v>
      </c>
      <c r="D382" s="2" t="s">
        <v>26</v>
      </c>
      <c r="E382" s="2" t="s">
        <v>31</v>
      </c>
      <c r="F382" s="2" t="s">
        <v>10</v>
      </c>
      <c r="G382" s="1" t="s">
        <v>135</v>
      </c>
      <c r="H382" s="2" t="s">
        <v>11</v>
      </c>
      <c r="I382" s="5">
        <v>129.15</v>
      </c>
      <c r="J382" s="2">
        <v>4</v>
      </c>
      <c r="K382" s="4">
        <v>37.64</v>
      </c>
    </row>
    <row r="383" spans="1:11" x14ac:dyDescent="0.3">
      <c r="A383" s="3">
        <v>45944</v>
      </c>
      <c r="B383" s="10">
        <f>YEAR(Table1[[#This Row],[Order Date]])</f>
        <v>2025</v>
      </c>
      <c r="C383" s="10">
        <f>MONTH(Table1[[#This Row],[Order Date]])</f>
        <v>10</v>
      </c>
      <c r="D383" s="2" t="s">
        <v>27</v>
      </c>
      <c r="E383" s="2" t="s">
        <v>39</v>
      </c>
      <c r="F383" s="2" t="s">
        <v>28</v>
      </c>
      <c r="G383" s="1" t="s">
        <v>137</v>
      </c>
      <c r="H383" s="2" t="s">
        <v>73</v>
      </c>
      <c r="I383" s="5">
        <v>208.39</v>
      </c>
      <c r="J383" s="2">
        <v>1</v>
      </c>
      <c r="K383" s="4">
        <v>44.74</v>
      </c>
    </row>
    <row r="384" spans="1:11" x14ac:dyDescent="0.3">
      <c r="A384" s="3">
        <v>45945</v>
      </c>
      <c r="B384" s="10">
        <f>YEAR(Table1[[#This Row],[Order Date]])</f>
        <v>2025</v>
      </c>
      <c r="C384" s="10">
        <f>MONTH(Table1[[#This Row],[Order Date]])</f>
        <v>10</v>
      </c>
      <c r="D384" s="2" t="s">
        <v>88</v>
      </c>
      <c r="E384" s="2" t="s">
        <v>31</v>
      </c>
      <c r="F384" s="2" t="s">
        <v>19</v>
      </c>
      <c r="G384" s="1" t="s">
        <v>136</v>
      </c>
      <c r="H384" s="2" t="s">
        <v>40</v>
      </c>
      <c r="I384" s="5">
        <v>252.77</v>
      </c>
      <c r="J384" s="2">
        <v>2</v>
      </c>
      <c r="K384" s="4">
        <v>14.31</v>
      </c>
    </row>
    <row r="385" spans="1:11" x14ac:dyDescent="0.3">
      <c r="A385" s="3">
        <v>45945</v>
      </c>
      <c r="B385" s="10">
        <f>YEAR(Table1[[#This Row],[Order Date]])</f>
        <v>2025</v>
      </c>
      <c r="C385" s="10">
        <f>MONTH(Table1[[#This Row],[Order Date]])</f>
        <v>10</v>
      </c>
      <c r="D385" s="2" t="s">
        <v>83</v>
      </c>
      <c r="E385" s="2" t="s">
        <v>31</v>
      </c>
      <c r="F385" s="2" t="s">
        <v>28</v>
      </c>
      <c r="G385" s="1" t="s">
        <v>137</v>
      </c>
      <c r="H385" s="2" t="s">
        <v>69</v>
      </c>
      <c r="I385" s="5">
        <v>1211.24</v>
      </c>
      <c r="J385" s="2">
        <v>1</v>
      </c>
      <c r="K385" s="4">
        <v>241.42</v>
      </c>
    </row>
    <row r="386" spans="1:11" x14ac:dyDescent="0.3">
      <c r="A386" s="3">
        <v>45945</v>
      </c>
      <c r="B386" s="10">
        <f>YEAR(Table1[[#This Row],[Order Date]])</f>
        <v>2025</v>
      </c>
      <c r="C386" s="10">
        <f>MONTH(Table1[[#This Row],[Order Date]])</f>
        <v>10</v>
      </c>
      <c r="D386" s="2" t="s">
        <v>38</v>
      </c>
      <c r="E386" s="2" t="s">
        <v>18</v>
      </c>
      <c r="F386" s="2" t="s">
        <v>19</v>
      </c>
      <c r="G386" s="1" t="s">
        <v>136</v>
      </c>
      <c r="H386" s="2" t="s">
        <v>32</v>
      </c>
      <c r="I386" s="5">
        <v>952.07</v>
      </c>
      <c r="J386" s="2">
        <v>4</v>
      </c>
      <c r="K386" s="4">
        <v>98.23</v>
      </c>
    </row>
    <row r="387" spans="1:11" x14ac:dyDescent="0.3">
      <c r="A387" s="3">
        <v>45945</v>
      </c>
      <c r="B387" s="10">
        <f>YEAR(Table1[[#This Row],[Order Date]])</f>
        <v>2025</v>
      </c>
      <c r="C387" s="10">
        <f>MONTH(Table1[[#This Row],[Order Date]])</f>
        <v>10</v>
      </c>
      <c r="D387" s="2" t="s">
        <v>130</v>
      </c>
      <c r="E387" s="2" t="s">
        <v>39</v>
      </c>
      <c r="F387" s="2" t="s">
        <v>19</v>
      </c>
      <c r="G387" s="1" t="s">
        <v>136</v>
      </c>
      <c r="H387" s="2" t="s">
        <v>40</v>
      </c>
      <c r="I387" s="5">
        <v>380.58</v>
      </c>
      <c r="J387" s="2">
        <v>3</v>
      </c>
      <c r="K387" s="4">
        <v>109.28</v>
      </c>
    </row>
    <row r="388" spans="1:11" x14ac:dyDescent="0.3">
      <c r="A388" s="3">
        <v>45946</v>
      </c>
      <c r="B388" s="10">
        <f>YEAR(Table1[[#This Row],[Order Date]])</f>
        <v>2025</v>
      </c>
      <c r="C388" s="10">
        <f>MONTH(Table1[[#This Row],[Order Date]])</f>
        <v>10</v>
      </c>
      <c r="D388" s="2" t="s">
        <v>26</v>
      </c>
      <c r="E388" s="2" t="s">
        <v>18</v>
      </c>
      <c r="F388" s="2" t="s">
        <v>19</v>
      </c>
      <c r="G388" s="1" t="s">
        <v>136</v>
      </c>
      <c r="H388" s="2" t="s">
        <v>65</v>
      </c>
      <c r="I388" s="5">
        <v>806.02</v>
      </c>
      <c r="J388" s="2">
        <v>1</v>
      </c>
      <c r="K388" s="4">
        <v>110.95</v>
      </c>
    </row>
    <row r="389" spans="1:11" x14ac:dyDescent="0.3">
      <c r="A389" s="3">
        <v>45949</v>
      </c>
      <c r="B389" s="10">
        <f>YEAR(Table1[[#This Row],[Order Date]])</f>
        <v>2025</v>
      </c>
      <c r="C389" s="10">
        <f>MONTH(Table1[[#This Row],[Order Date]])</f>
        <v>10</v>
      </c>
      <c r="D389" s="2" t="s">
        <v>66</v>
      </c>
      <c r="E389" s="2" t="s">
        <v>9</v>
      </c>
      <c r="F389" s="2" t="s">
        <v>19</v>
      </c>
      <c r="G389" s="1" t="s">
        <v>136</v>
      </c>
      <c r="H389" s="2" t="s">
        <v>45</v>
      </c>
      <c r="I389" s="5">
        <v>799.18</v>
      </c>
      <c r="J389" s="2">
        <v>2</v>
      </c>
      <c r="K389" s="4">
        <v>239.01</v>
      </c>
    </row>
    <row r="390" spans="1:11" x14ac:dyDescent="0.3">
      <c r="A390" s="3">
        <v>45949</v>
      </c>
      <c r="B390" s="10">
        <f>YEAR(Table1[[#This Row],[Order Date]])</f>
        <v>2025</v>
      </c>
      <c r="C390" s="10">
        <f>MONTH(Table1[[#This Row],[Order Date]])</f>
        <v>10</v>
      </c>
      <c r="D390" s="2" t="s">
        <v>100</v>
      </c>
      <c r="E390" s="2" t="s">
        <v>22</v>
      </c>
      <c r="F390" s="2" t="s">
        <v>19</v>
      </c>
      <c r="G390" s="1" t="s">
        <v>136</v>
      </c>
      <c r="H390" s="2" t="s">
        <v>45</v>
      </c>
      <c r="I390" s="5">
        <v>360.21</v>
      </c>
      <c r="J390" s="2">
        <v>3</v>
      </c>
      <c r="K390" s="4">
        <v>68.23</v>
      </c>
    </row>
    <row r="391" spans="1:11" x14ac:dyDescent="0.3">
      <c r="A391" s="3">
        <v>45952</v>
      </c>
      <c r="B391" s="10">
        <f>YEAR(Table1[[#This Row],[Order Date]])</f>
        <v>2025</v>
      </c>
      <c r="C391" s="10">
        <f>MONTH(Table1[[#This Row],[Order Date]])</f>
        <v>10</v>
      </c>
      <c r="D391" s="2" t="s">
        <v>41</v>
      </c>
      <c r="E391" s="2" t="s">
        <v>22</v>
      </c>
      <c r="F391" s="2" t="s">
        <v>10</v>
      </c>
      <c r="G391" s="1" t="s">
        <v>135</v>
      </c>
      <c r="H391" s="2" t="s">
        <v>11</v>
      </c>
      <c r="I391" s="5">
        <v>1264.6099999999999</v>
      </c>
      <c r="J391" s="2">
        <v>4</v>
      </c>
      <c r="K391" s="4">
        <v>193.28</v>
      </c>
    </row>
    <row r="392" spans="1:11" x14ac:dyDescent="0.3">
      <c r="A392" s="3">
        <v>45953</v>
      </c>
      <c r="B392" s="10">
        <f>YEAR(Table1[[#This Row],[Order Date]])</f>
        <v>2025</v>
      </c>
      <c r="C392" s="10">
        <f>MONTH(Table1[[#This Row],[Order Date]])</f>
        <v>10</v>
      </c>
      <c r="D392" s="2" t="s">
        <v>122</v>
      </c>
      <c r="E392" s="2" t="s">
        <v>77</v>
      </c>
      <c r="F392" s="2" t="s">
        <v>19</v>
      </c>
      <c r="G392" s="1" t="s">
        <v>136</v>
      </c>
      <c r="H392" s="2" t="s">
        <v>40</v>
      </c>
      <c r="I392" s="5">
        <v>440.14</v>
      </c>
      <c r="J392" s="2">
        <v>3</v>
      </c>
      <c r="K392" s="4">
        <v>118.67</v>
      </c>
    </row>
    <row r="393" spans="1:11" x14ac:dyDescent="0.3">
      <c r="A393" s="3">
        <v>45953</v>
      </c>
      <c r="B393" s="10">
        <f>YEAR(Table1[[#This Row],[Order Date]])</f>
        <v>2025</v>
      </c>
      <c r="C393" s="10">
        <f>MONTH(Table1[[#This Row],[Order Date]])</f>
        <v>10</v>
      </c>
      <c r="D393" s="2" t="s">
        <v>52</v>
      </c>
      <c r="E393" s="2" t="s">
        <v>25</v>
      </c>
      <c r="F393" s="2" t="s">
        <v>28</v>
      </c>
      <c r="G393" s="1" t="s">
        <v>137</v>
      </c>
      <c r="H393" s="2" t="s">
        <v>29</v>
      </c>
      <c r="I393" s="5">
        <v>566.53</v>
      </c>
      <c r="J393" s="2">
        <v>5</v>
      </c>
      <c r="K393" s="4">
        <v>118</v>
      </c>
    </row>
    <row r="394" spans="1:11" x14ac:dyDescent="0.3">
      <c r="A394" s="3">
        <v>45955</v>
      </c>
      <c r="B394" s="10">
        <f>YEAR(Table1[[#This Row],[Order Date]])</f>
        <v>2025</v>
      </c>
      <c r="C394" s="10">
        <f>MONTH(Table1[[#This Row],[Order Date]])</f>
        <v>10</v>
      </c>
      <c r="D394" s="2" t="s">
        <v>95</v>
      </c>
      <c r="E394" s="2" t="s">
        <v>18</v>
      </c>
      <c r="F394" s="2" t="s">
        <v>10</v>
      </c>
      <c r="G394" s="1" t="s">
        <v>135</v>
      </c>
      <c r="H394" s="2" t="s">
        <v>13</v>
      </c>
      <c r="I394" s="5">
        <v>1241.95</v>
      </c>
      <c r="J394" s="2">
        <v>5</v>
      </c>
      <c r="K394" s="4">
        <v>122.53</v>
      </c>
    </row>
    <row r="395" spans="1:11" x14ac:dyDescent="0.3">
      <c r="A395" s="3">
        <v>45957</v>
      </c>
      <c r="B395" s="10">
        <f>YEAR(Table1[[#This Row],[Order Date]])</f>
        <v>2025</v>
      </c>
      <c r="C395" s="10">
        <f>MONTH(Table1[[#This Row],[Order Date]])</f>
        <v>10</v>
      </c>
      <c r="D395" s="2" t="s">
        <v>89</v>
      </c>
      <c r="E395" s="2" t="s">
        <v>25</v>
      </c>
      <c r="F395" s="2" t="s">
        <v>10</v>
      </c>
      <c r="G395" s="1" t="s">
        <v>135</v>
      </c>
      <c r="H395" s="2" t="s">
        <v>49</v>
      </c>
      <c r="I395" s="5">
        <v>1100.1600000000001</v>
      </c>
      <c r="J395" s="2">
        <v>4</v>
      </c>
      <c r="K395" s="4">
        <v>157.33000000000001</v>
      </c>
    </row>
    <row r="396" spans="1:11" x14ac:dyDescent="0.3">
      <c r="A396" s="3">
        <v>45957</v>
      </c>
      <c r="B396" s="10">
        <f>YEAR(Table1[[#This Row],[Order Date]])</f>
        <v>2025</v>
      </c>
      <c r="C396" s="10">
        <f>MONTH(Table1[[#This Row],[Order Date]])</f>
        <v>10</v>
      </c>
      <c r="D396" s="2" t="s">
        <v>33</v>
      </c>
      <c r="E396" s="2" t="s">
        <v>31</v>
      </c>
      <c r="F396" s="2" t="s">
        <v>28</v>
      </c>
      <c r="G396" s="1" t="s">
        <v>137</v>
      </c>
      <c r="H396" s="2" t="s">
        <v>58</v>
      </c>
      <c r="I396" s="5">
        <v>908.8</v>
      </c>
      <c r="J396" s="2">
        <v>2</v>
      </c>
      <c r="K396" s="4">
        <v>251.18</v>
      </c>
    </row>
    <row r="397" spans="1:11" x14ac:dyDescent="0.3">
      <c r="A397" s="3">
        <v>45961</v>
      </c>
      <c r="B397" s="10">
        <f>YEAR(Table1[[#This Row],[Order Date]])</f>
        <v>2025</v>
      </c>
      <c r="C397" s="10">
        <f>MONTH(Table1[[#This Row],[Order Date]])</f>
        <v>10</v>
      </c>
      <c r="D397" s="2" t="s">
        <v>67</v>
      </c>
      <c r="E397" s="2" t="s">
        <v>22</v>
      </c>
      <c r="F397" s="2" t="s">
        <v>19</v>
      </c>
      <c r="G397" s="1" t="s">
        <v>136</v>
      </c>
      <c r="H397" s="2" t="s">
        <v>32</v>
      </c>
      <c r="I397" s="5">
        <v>291.17</v>
      </c>
      <c r="J397" s="2">
        <v>1</v>
      </c>
      <c r="K397" s="4">
        <v>39.979999999999997</v>
      </c>
    </row>
    <row r="398" spans="1:11" x14ac:dyDescent="0.3">
      <c r="A398" s="3">
        <v>45962</v>
      </c>
      <c r="B398" s="10">
        <f>YEAR(Table1[[#This Row],[Order Date]])</f>
        <v>2025</v>
      </c>
      <c r="C398" s="10">
        <f>MONTH(Table1[[#This Row],[Order Date]])</f>
        <v>11</v>
      </c>
      <c r="D398" s="2" t="s">
        <v>76</v>
      </c>
      <c r="E398" s="2" t="s">
        <v>25</v>
      </c>
      <c r="F398" s="2" t="s">
        <v>10</v>
      </c>
      <c r="G398" s="1" t="s">
        <v>135</v>
      </c>
      <c r="H398" s="2" t="s">
        <v>13</v>
      </c>
      <c r="I398" s="5">
        <v>648.02</v>
      </c>
      <c r="J398" s="2">
        <v>1</v>
      </c>
      <c r="K398" s="4">
        <v>144.58000000000001</v>
      </c>
    </row>
    <row r="399" spans="1:11" x14ac:dyDescent="0.3">
      <c r="A399" s="3">
        <v>45962</v>
      </c>
      <c r="B399" s="10">
        <f>YEAR(Table1[[#This Row],[Order Date]])</f>
        <v>2025</v>
      </c>
      <c r="C399" s="10">
        <f>MONTH(Table1[[#This Row],[Order Date]])</f>
        <v>11</v>
      </c>
      <c r="D399" s="2" t="s">
        <v>72</v>
      </c>
      <c r="E399" s="2" t="s">
        <v>31</v>
      </c>
      <c r="F399" s="2" t="s">
        <v>19</v>
      </c>
      <c r="G399" s="1" t="s">
        <v>136</v>
      </c>
      <c r="H399" s="2" t="s">
        <v>32</v>
      </c>
      <c r="I399" s="5">
        <v>406.12</v>
      </c>
      <c r="J399" s="2">
        <v>3</v>
      </c>
      <c r="K399" s="4">
        <v>66.44</v>
      </c>
    </row>
    <row r="400" spans="1:11" x14ac:dyDescent="0.3">
      <c r="A400" s="3">
        <v>45962</v>
      </c>
      <c r="B400" s="10">
        <f>YEAR(Table1[[#This Row],[Order Date]])</f>
        <v>2025</v>
      </c>
      <c r="C400" s="10">
        <f>MONTH(Table1[[#This Row],[Order Date]])</f>
        <v>11</v>
      </c>
      <c r="D400" s="2" t="s">
        <v>97</v>
      </c>
      <c r="E400" s="2" t="s">
        <v>18</v>
      </c>
      <c r="F400" s="2" t="s">
        <v>10</v>
      </c>
      <c r="G400" s="1" t="s">
        <v>135</v>
      </c>
      <c r="H400" s="2" t="s">
        <v>23</v>
      </c>
      <c r="I400" s="5">
        <v>584.95000000000005</v>
      </c>
      <c r="J400" s="2">
        <v>3</v>
      </c>
      <c r="K400" s="4">
        <v>89.15</v>
      </c>
    </row>
    <row r="401" spans="1:11" x14ac:dyDescent="0.3">
      <c r="A401" s="3">
        <v>45963</v>
      </c>
      <c r="B401" s="10">
        <f>YEAR(Table1[[#This Row],[Order Date]])</f>
        <v>2025</v>
      </c>
      <c r="C401" s="10">
        <f>MONTH(Table1[[#This Row],[Order Date]])</f>
        <v>11</v>
      </c>
      <c r="D401" s="2" t="s">
        <v>127</v>
      </c>
      <c r="E401" s="2" t="s">
        <v>25</v>
      </c>
      <c r="F401" s="2" t="s">
        <v>19</v>
      </c>
      <c r="G401" s="1" t="s">
        <v>136</v>
      </c>
      <c r="H401" s="2" t="s">
        <v>20</v>
      </c>
      <c r="I401" s="5">
        <v>206.04</v>
      </c>
      <c r="J401" s="2">
        <v>4</v>
      </c>
      <c r="K401" s="4">
        <v>57.13</v>
      </c>
    </row>
    <row r="402" spans="1:11" x14ac:dyDescent="0.3">
      <c r="A402" s="3">
        <v>45963</v>
      </c>
      <c r="B402" s="10">
        <f>YEAR(Table1[[#This Row],[Order Date]])</f>
        <v>2025</v>
      </c>
      <c r="C402" s="10">
        <f>MONTH(Table1[[#This Row],[Order Date]])</f>
        <v>11</v>
      </c>
      <c r="D402" s="2" t="s">
        <v>96</v>
      </c>
      <c r="E402" s="2" t="s">
        <v>39</v>
      </c>
      <c r="F402" s="2" t="s">
        <v>10</v>
      </c>
      <c r="G402" s="1" t="s">
        <v>135</v>
      </c>
      <c r="H402" s="2" t="s">
        <v>49</v>
      </c>
      <c r="I402" s="5">
        <v>1300.99</v>
      </c>
      <c r="J402" s="2">
        <v>1</v>
      </c>
      <c r="K402" s="4">
        <v>348.26</v>
      </c>
    </row>
    <row r="403" spans="1:11" x14ac:dyDescent="0.3">
      <c r="A403" s="3">
        <v>45963</v>
      </c>
      <c r="B403" s="10">
        <f>YEAR(Table1[[#This Row],[Order Date]])</f>
        <v>2025</v>
      </c>
      <c r="C403" s="10">
        <f>MONTH(Table1[[#This Row],[Order Date]])</f>
        <v>11</v>
      </c>
      <c r="D403" s="2" t="s">
        <v>60</v>
      </c>
      <c r="E403" s="2" t="s">
        <v>39</v>
      </c>
      <c r="F403" s="2" t="s">
        <v>28</v>
      </c>
      <c r="G403" s="1" t="s">
        <v>137</v>
      </c>
      <c r="H403" s="2" t="s">
        <v>29</v>
      </c>
      <c r="I403" s="5">
        <v>47.46</v>
      </c>
      <c r="J403" s="2">
        <v>4</v>
      </c>
      <c r="K403" s="4">
        <v>13.18</v>
      </c>
    </row>
    <row r="404" spans="1:11" x14ac:dyDescent="0.3">
      <c r="A404" s="3">
        <v>45964</v>
      </c>
      <c r="B404" s="10">
        <f>YEAR(Table1[[#This Row],[Order Date]])</f>
        <v>2025</v>
      </c>
      <c r="C404" s="10">
        <f>MONTH(Table1[[#This Row],[Order Date]])</f>
        <v>11</v>
      </c>
      <c r="D404" s="2" t="s">
        <v>74</v>
      </c>
      <c r="E404" s="2" t="s">
        <v>18</v>
      </c>
      <c r="F404" s="2" t="s">
        <v>19</v>
      </c>
      <c r="G404" s="1" t="s">
        <v>136</v>
      </c>
      <c r="H404" s="2" t="s">
        <v>40</v>
      </c>
      <c r="I404" s="5">
        <v>993.85</v>
      </c>
      <c r="J404" s="2">
        <v>2</v>
      </c>
      <c r="K404" s="4">
        <v>54.9</v>
      </c>
    </row>
    <row r="405" spans="1:11" x14ac:dyDescent="0.3">
      <c r="A405" s="3">
        <v>45965</v>
      </c>
      <c r="B405" s="10">
        <f>YEAR(Table1[[#This Row],[Order Date]])</f>
        <v>2025</v>
      </c>
      <c r="C405" s="10">
        <f>MONTH(Table1[[#This Row],[Order Date]])</f>
        <v>11</v>
      </c>
      <c r="D405" s="2" t="s">
        <v>122</v>
      </c>
      <c r="E405" s="2" t="s">
        <v>77</v>
      </c>
      <c r="F405" s="2" t="s">
        <v>10</v>
      </c>
      <c r="G405" s="1" t="s">
        <v>135</v>
      </c>
      <c r="H405" s="2" t="s">
        <v>13</v>
      </c>
      <c r="I405" s="5">
        <v>1199</v>
      </c>
      <c r="J405" s="2">
        <v>5</v>
      </c>
      <c r="K405" s="4">
        <v>86.75</v>
      </c>
    </row>
    <row r="406" spans="1:11" x14ac:dyDescent="0.3">
      <c r="A406" s="3">
        <v>45965</v>
      </c>
      <c r="B406" s="10">
        <f>YEAR(Table1[[#This Row],[Order Date]])</f>
        <v>2025</v>
      </c>
      <c r="C406" s="10">
        <f>MONTH(Table1[[#This Row],[Order Date]])</f>
        <v>11</v>
      </c>
      <c r="D406" s="2" t="s">
        <v>132</v>
      </c>
      <c r="E406" s="2" t="s">
        <v>39</v>
      </c>
      <c r="F406" s="2" t="s">
        <v>28</v>
      </c>
      <c r="G406" s="1" t="s">
        <v>137</v>
      </c>
      <c r="H406" s="2" t="s">
        <v>58</v>
      </c>
      <c r="I406" s="5">
        <v>218.64</v>
      </c>
      <c r="J406" s="2">
        <v>4</v>
      </c>
      <c r="K406" s="4">
        <v>36.6</v>
      </c>
    </row>
    <row r="407" spans="1:11" x14ac:dyDescent="0.3">
      <c r="A407" s="3">
        <v>45966</v>
      </c>
      <c r="B407" s="10">
        <f>YEAR(Table1[[#This Row],[Order Date]])</f>
        <v>2025</v>
      </c>
      <c r="C407" s="10">
        <f>MONTH(Table1[[#This Row],[Order Date]])</f>
        <v>11</v>
      </c>
      <c r="D407" s="2" t="s">
        <v>93</v>
      </c>
      <c r="E407" s="2" t="s">
        <v>34</v>
      </c>
      <c r="F407" s="2" t="s">
        <v>28</v>
      </c>
      <c r="G407" s="1" t="s">
        <v>137</v>
      </c>
      <c r="H407" s="2" t="s">
        <v>29</v>
      </c>
      <c r="I407" s="5">
        <v>725.75</v>
      </c>
      <c r="J407" s="2">
        <v>1</v>
      </c>
      <c r="K407" s="4">
        <v>104.64</v>
      </c>
    </row>
    <row r="408" spans="1:11" x14ac:dyDescent="0.3">
      <c r="A408" s="3">
        <v>45966</v>
      </c>
      <c r="B408" s="10">
        <f>YEAR(Table1[[#This Row],[Order Date]])</f>
        <v>2025</v>
      </c>
      <c r="C408" s="10">
        <f>MONTH(Table1[[#This Row],[Order Date]])</f>
        <v>11</v>
      </c>
      <c r="D408" s="2" t="s">
        <v>86</v>
      </c>
      <c r="E408" s="2" t="s">
        <v>9</v>
      </c>
      <c r="F408" s="2" t="s">
        <v>28</v>
      </c>
      <c r="G408" s="1" t="s">
        <v>137</v>
      </c>
      <c r="H408" s="2" t="s">
        <v>35</v>
      </c>
      <c r="I408" s="5">
        <v>257.76</v>
      </c>
      <c r="J408" s="2">
        <v>3</v>
      </c>
      <c r="K408" s="4">
        <v>24.77</v>
      </c>
    </row>
    <row r="409" spans="1:11" x14ac:dyDescent="0.3">
      <c r="A409" s="3">
        <v>45967</v>
      </c>
      <c r="B409" s="10">
        <f>YEAR(Table1[[#This Row],[Order Date]])</f>
        <v>2025</v>
      </c>
      <c r="C409" s="10">
        <f>MONTH(Table1[[#This Row],[Order Date]])</f>
        <v>11</v>
      </c>
      <c r="D409" s="2" t="s">
        <v>71</v>
      </c>
      <c r="E409" s="2" t="s">
        <v>22</v>
      </c>
      <c r="F409" s="2" t="s">
        <v>10</v>
      </c>
      <c r="G409" s="1" t="s">
        <v>135</v>
      </c>
      <c r="H409" s="2" t="s">
        <v>23</v>
      </c>
      <c r="I409" s="5">
        <v>989.84</v>
      </c>
      <c r="J409" s="2">
        <v>1</v>
      </c>
      <c r="K409" s="4">
        <v>183.75</v>
      </c>
    </row>
    <row r="410" spans="1:11" x14ac:dyDescent="0.3">
      <c r="A410" s="3">
        <v>45967</v>
      </c>
      <c r="B410" s="10">
        <f>YEAR(Table1[[#This Row],[Order Date]])</f>
        <v>2025</v>
      </c>
      <c r="C410" s="10">
        <f>MONTH(Table1[[#This Row],[Order Date]])</f>
        <v>11</v>
      </c>
      <c r="D410" s="2" t="s">
        <v>76</v>
      </c>
      <c r="E410" s="2" t="s">
        <v>39</v>
      </c>
      <c r="F410" s="2" t="s">
        <v>19</v>
      </c>
      <c r="G410" s="1" t="s">
        <v>136</v>
      </c>
      <c r="H410" s="2" t="s">
        <v>32</v>
      </c>
      <c r="I410" s="5">
        <v>120.62</v>
      </c>
      <c r="J410" s="2">
        <v>1</v>
      </c>
      <c r="K410" s="4">
        <v>15.08</v>
      </c>
    </row>
    <row r="411" spans="1:11" x14ac:dyDescent="0.3">
      <c r="A411" s="3">
        <v>45967</v>
      </c>
      <c r="B411" s="10">
        <f>YEAR(Table1[[#This Row],[Order Date]])</f>
        <v>2025</v>
      </c>
      <c r="C411" s="10">
        <f>MONTH(Table1[[#This Row],[Order Date]])</f>
        <v>11</v>
      </c>
      <c r="D411" s="2" t="s">
        <v>66</v>
      </c>
      <c r="E411" s="2" t="s">
        <v>34</v>
      </c>
      <c r="F411" s="2" t="s">
        <v>19</v>
      </c>
      <c r="G411" s="1" t="s">
        <v>136</v>
      </c>
      <c r="H411" s="2" t="s">
        <v>32</v>
      </c>
      <c r="I411" s="5">
        <v>898.52</v>
      </c>
      <c r="J411" s="2">
        <v>4</v>
      </c>
      <c r="K411" s="4">
        <v>247.17</v>
      </c>
    </row>
    <row r="412" spans="1:11" x14ac:dyDescent="0.3">
      <c r="A412" s="3">
        <v>45968</v>
      </c>
      <c r="B412" s="10">
        <f>YEAR(Table1[[#This Row],[Order Date]])</f>
        <v>2025</v>
      </c>
      <c r="C412" s="10">
        <f>MONTH(Table1[[#This Row],[Order Date]])</f>
        <v>11</v>
      </c>
      <c r="D412" s="2" t="s">
        <v>129</v>
      </c>
      <c r="E412" s="2" t="s">
        <v>9</v>
      </c>
      <c r="F412" s="2" t="s">
        <v>10</v>
      </c>
      <c r="G412" s="1" t="s">
        <v>135</v>
      </c>
      <c r="H412" s="2" t="s">
        <v>23</v>
      </c>
      <c r="I412" s="5">
        <v>627.04999999999995</v>
      </c>
      <c r="J412" s="2">
        <v>5</v>
      </c>
      <c r="K412" s="4">
        <v>92.03</v>
      </c>
    </row>
    <row r="413" spans="1:11" x14ac:dyDescent="0.3">
      <c r="A413" s="3">
        <v>45970</v>
      </c>
      <c r="B413" s="10">
        <f>YEAR(Table1[[#This Row],[Order Date]])</f>
        <v>2025</v>
      </c>
      <c r="C413" s="10">
        <f>MONTH(Table1[[#This Row],[Order Date]])</f>
        <v>11</v>
      </c>
      <c r="D413" s="2" t="s">
        <v>26</v>
      </c>
      <c r="E413" s="2" t="s">
        <v>15</v>
      </c>
      <c r="F413" s="2" t="s">
        <v>19</v>
      </c>
      <c r="G413" s="1" t="s">
        <v>136</v>
      </c>
      <c r="H413" s="2" t="s">
        <v>20</v>
      </c>
      <c r="I413" s="5">
        <v>106.93</v>
      </c>
      <c r="J413" s="2">
        <v>4</v>
      </c>
      <c r="K413" s="4">
        <v>30.53</v>
      </c>
    </row>
    <row r="414" spans="1:11" x14ac:dyDescent="0.3">
      <c r="A414" s="3">
        <v>45970</v>
      </c>
      <c r="B414" s="10">
        <f>YEAR(Table1[[#This Row],[Order Date]])</f>
        <v>2025</v>
      </c>
      <c r="C414" s="10">
        <f>MONTH(Table1[[#This Row],[Order Date]])</f>
        <v>11</v>
      </c>
      <c r="D414" s="2" t="s">
        <v>120</v>
      </c>
      <c r="E414" s="2" t="s">
        <v>15</v>
      </c>
      <c r="F414" s="2" t="s">
        <v>10</v>
      </c>
      <c r="G414" s="1" t="s">
        <v>135</v>
      </c>
      <c r="H414" s="2" t="s">
        <v>23</v>
      </c>
      <c r="I414" s="5">
        <v>1306.45</v>
      </c>
      <c r="J414" s="2">
        <v>3</v>
      </c>
      <c r="K414" s="4">
        <v>351.01</v>
      </c>
    </row>
    <row r="415" spans="1:11" x14ac:dyDescent="0.3">
      <c r="A415" s="3">
        <v>45971</v>
      </c>
      <c r="B415" s="10">
        <f>YEAR(Table1[[#This Row],[Order Date]])</f>
        <v>2025</v>
      </c>
      <c r="C415" s="10">
        <f>MONTH(Table1[[#This Row],[Order Date]])</f>
        <v>11</v>
      </c>
      <c r="D415" s="2" t="s">
        <v>115</v>
      </c>
      <c r="E415" s="2" t="s">
        <v>39</v>
      </c>
      <c r="F415" s="2" t="s">
        <v>10</v>
      </c>
      <c r="G415" s="1" t="s">
        <v>135</v>
      </c>
      <c r="H415" s="2" t="s">
        <v>23</v>
      </c>
      <c r="I415" s="5">
        <v>914.57</v>
      </c>
      <c r="J415" s="2">
        <v>3</v>
      </c>
      <c r="K415" s="4">
        <v>98.76</v>
      </c>
    </row>
    <row r="416" spans="1:11" x14ac:dyDescent="0.3">
      <c r="A416" s="3">
        <v>45972</v>
      </c>
      <c r="B416" s="10">
        <f>YEAR(Table1[[#This Row],[Order Date]])</f>
        <v>2025</v>
      </c>
      <c r="C416" s="10">
        <f>MONTH(Table1[[#This Row],[Order Date]])</f>
        <v>11</v>
      </c>
      <c r="D416" s="2" t="s">
        <v>103</v>
      </c>
      <c r="E416" s="2" t="s">
        <v>15</v>
      </c>
      <c r="F416" s="2" t="s">
        <v>28</v>
      </c>
      <c r="G416" s="1" t="s">
        <v>137</v>
      </c>
      <c r="H416" s="2" t="s">
        <v>35</v>
      </c>
      <c r="I416" s="5">
        <v>1231.72</v>
      </c>
      <c r="J416" s="2">
        <v>5</v>
      </c>
      <c r="K416" s="4">
        <v>290.52999999999997</v>
      </c>
    </row>
    <row r="417" spans="1:11" x14ac:dyDescent="0.3">
      <c r="A417" s="3">
        <v>45972</v>
      </c>
      <c r="B417" s="10">
        <f>YEAR(Table1[[#This Row],[Order Date]])</f>
        <v>2025</v>
      </c>
      <c r="C417" s="10">
        <f>MONTH(Table1[[#This Row],[Order Date]])</f>
        <v>11</v>
      </c>
      <c r="D417" s="2" t="s">
        <v>100</v>
      </c>
      <c r="E417" s="2" t="s">
        <v>37</v>
      </c>
      <c r="F417" s="2" t="s">
        <v>28</v>
      </c>
      <c r="G417" s="1" t="s">
        <v>137</v>
      </c>
      <c r="H417" s="2" t="s">
        <v>29</v>
      </c>
      <c r="I417" s="5">
        <v>1248.01</v>
      </c>
      <c r="J417" s="2">
        <v>1</v>
      </c>
      <c r="K417" s="4">
        <v>71.88</v>
      </c>
    </row>
    <row r="418" spans="1:11" x14ac:dyDescent="0.3">
      <c r="A418" s="3">
        <v>45972</v>
      </c>
      <c r="B418" s="10">
        <f>YEAR(Table1[[#This Row],[Order Date]])</f>
        <v>2025</v>
      </c>
      <c r="C418" s="10">
        <f>MONTH(Table1[[#This Row],[Order Date]])</f>
        <v>11</v>
      </c>
      <c r="D418" s="2" t="s">
        <v>104</v>
      </c>
      <c r="E418" s="2" t="s">
        <v>37</v>
      </c>
      <c r="F418" s="2" t="s">
        <v>28</v>
      </c>
      <c r="G418" s="1" t="s">
        <v>137</v>
      </c>
      <c r="H418" s="2" t="s">
        <v>69</v>
      </c>
      <c r="I418" s="5">
        <v>205.71</v>
      </c>
      <c r="J418" s="2">
        <v>1</v>
      </c>
      <c r="K418" s="4">
        <v>48.93</v>
      </c>
    </row>
    <row r="419" spans="1:11" x14ac:dyDescent="0.3">
      <c r="A419" s="3">
        <v>45973</v>
      </c>
      <c r="B419" s="10">
        <f>YEAR(Table1[[#This Row],[Order Date]])</f>
        <v>2025</v>
      </c>
      <c r="C419" s="10">
        <f>MONTH(Table1[[#This Row],[Order Date]])</f>
        <v>11</v>
      </c>
      <c r="D419" s="2" t="s">
        <v>56</v>
      </c>
      <c r="E419" s="2" t="s">
        <v>25</v>
      </c>
      <c r="F419" s="2" t="s">
        <v>19</v>
      </c>
      <c r="G419" s="1" t="s">
        <v>136</v>
      </c>
      <c r="H419" s="2" t="s">
        <v>45</v>
      </c>
      <c r="I419" s="5">
        <v>551.80999999999995</v>
      </c>
      <c r="J419" s="2">
        <v>1</v>
      </c>
      <c r="K419" s="4">
        <v>62.62</v>
      </c>
    </row>
    <row r="420" spans="1:11" x14ac:dyDescent="0.3">
      <c r="A420" s="3">
        <v>45973</v>
      </c>
      <c r="B420" s="10">
        <f>YEAR(Table1[[#This Row],[Order Date]])</f>
        <v>2025</v>
      </c>
      <c r="C420" s="10">
        <f>MONTH(Table1[[#This Row],[Order Date]])</f>
        <v>11</v>
      </c>
      <c r="D420" s="2" t="s">
        <v>78</v>
      </c>
      <c r="E420" s="2" t="s">
        <v>34</v>
      </c>
      <c r="F420" s="2" t="s">
        <v>19</v>
      </c>
      <c r="G420" s="1" t="s">
        <v>136</v>
      </c>
      <c r="H420" s="2" t="s">
        <v>20</v>
      </c>
      <c r="I420" s="5">
        <v>1056.7</v>
      </c>
      <c r="J420" s="2">
        <v>5</v>
      </c>
      <c r="K420" s="4">
        <v>131.16999999999999</v>
      </c>
    </row>
    <row r="421" spans="1:11" x14ac:dyDescent="0.3">
      <c r="A421" s="3">
        <v>45973</v>
      </c>
      <c r="B421" s="10">
        <f>YEAR(Table1[[#This Row],[Order Date]])</f>
        <v>2025</v>
      </c>
      <c r="C421" s="10">
        <f>MONTH(Table1[[#This Row],[Order Date]])</f>
        <v>11</v>
      </c>
      <c r="D421" s="2" t="s">
        <v>115</v>
      </c>
      <c r="E421" s="2" t="s">
        <v>15</v>
      </c>
      <c r="F421" s="2" t="s">
        <v>10</v>
      </c>
      <c r="G421" s="1" t="s">
        <v>135</v>
      </c>
      <c r="H421" s="2" t="s">
        <v>11</v>
      </c>
      <c r="I421" s="5">
        <v>608.65</v>
      </c>
      <c r="J421" s="2">
        <v>1</v>
      </c>
      <c r="K421" s="4">
        <v>142.21</v>
      </c>
    </row>
    <row r="422" spans="1:11" x14ac:dyDescent="0.3">
      <c r="A422" s="3">
        <v>45974</v>
      </c>
      <c r="B422" s="10">
        <f>YEAR(Table1[[#This Row],[Order Date]])</f>
        <v>2025</v>
      </c>
      <c r="C422" s="10">
        <f>MONTH(Table1[[#This Row],[Order Date]])</f>
        <v>11</v>
      </c>
      <c r="D422" s="2" t="s">
        <v>36</v>
      </c>
      <c r="E422" s="2" t="s">
        <v>18</v>
      </c>
      <c r="F422" s="2" t="s">
        <v>10</v>
      </c>
      <c r="G422" s="1" t="s">
        <v>135</v>
      </c>
      <c r="H422" s="2" t="s">
        <v>16</v>
      </c>
      <c r="I422" s="5">
        <v>410.8</v>
      </c>
      <c r="J422" s="2">
        <v>3</v>
      </c>
      <c r="K422" s="4">
        <v>121.63</v>
      </c>
    </row>
    <row r="423" spans="1:11" x14ac:dyDescent="0.3">
      <c r="A423" s="3">
        <v>45974</v>
      </c>
      <c r="B423" s="10">
        <f>YEAR(Table1[[#This Row],[Order Date]])</f>
        <v>2025</v>
      </c>
      <c r="C423" s="10">
        <f>MONTH(Table1[[#This Row],[Order Date]])</f>
        <v>11</v>
      </c>
      <c r="D423" s="2" t="s">
        <v>93</v>
      </c>
      <c r="E423" s="2" t="s">
        <v>39</v>
      </c>
      <c r="F423" s="2" t="s">
        <v>28</v>
      </c>
      <c r="G423" s="1" t="s">
        <v>137</v>
      </c>
      <c r="H423" s="2" t="s">
        <v>69</v>
      </c>
      <c r="I423" s="5">
        <v>1004.71</v>
      </c>
      <c r="J423" s="2">
        <v>2</v>
      </c>
      <c r="K423" s="4">
        <v>241.7</v>
      </c>
    </row>
    <row r="424" spans="1:11" x14ac:dyDescent="0.3">
      <c r="A424" s="3">
        <v>45975</v>
      </c>
      <c r="B424" s="10">
        <f>YEAR(Table1[[#This Row],[Order Date]])</f>
        <v>2025</v>
      </c>
      <c r="C424" s="10">
        <f>MONTH(Table1[[#This Row],[Order Date]])</f>
        <v>11</v>
      </c>
      <c r="D424" s="2" t="s">
        <v>27</v>
      </c>
      <c r="E424" s="2" t="s">
        <v>31</v>
      </c>
      <c r="F424" s="2" t="s">
        <v>10</v>
      </c>
      <c r="G424" s="1" t="s">
        <v>135</v>
      </c>
      <c r="H424" s="2" t="s">
        <v>13</v>
      </c>
      <c r="I424" s="5">
        <v>111.69</v>
      </c>
      <c r="J424" s="2">
        <v>3</v>
      </c>
      <c r="K424" s="4">
        <v>13.65</v>
      </c>
    </row>
    <row r="425" spans="1:11" x14ac:dyDescent="0.3">
      <c r="A425" s="3">
        <v>45977</v>
      </c>
      <c r="B425" s="10">
        <f>YEAR(Table1[[#This Row],[Order Date]])</f>
        <v>2025</v>
      </c>
      <c r="C425" s="10">
        <f>MONTH(Table1[[#This Row],[Order Date]])</f>
        <v>11</v>
      </c>
      <c r="D425" s="2" t="s">
        <v>43</v>
      </c>
      <c r="E425" s="2" t="s">
        <v>25</v>
      </c>
      <c r="F425" s="2" t="s">
        <v>10</v>
      </c>
      <c r="G425" s="1" t="s">
        <v>135</v>
      </c>
      <c r="H425" s="2" t="s">
        <v>16</v>
      </c>
      <c r="I425" s="5">
        <v>284.85000000000002</v>
      </c>
      <c r="J425" s="2">
        <v>1</v>
      </c>
      <c r="K425" s="4">
        <v>36.31</v>
      </c>
    </row>
    <row r="426" spans="1:11" x14ac:dyDescent="0.3">
      <c r="A426" s="3">
        <v>45977</v>
      </c>
      <c r="B426" s="10">
        <f>YEAR(Table1[[#This Row],[Order Date]])</f>
        <v>2025</v>
      </c>
      <c r="C426" s="10">
        <f>MONTH(Table1[[#This Row],[Order Date]])</f>
        <v>11</v>
      </c>
      <c r="D426" s="2" t="s">
        <v>68</v>
      </c>
      <c r="E426" s="2" t="s">
        <v>18</v>
      </c>
      <c r="F426" s="2" t="s">
        <v>10</v>
      </c>
      <c r="G426" s="1" t="s">
        <v>135</v>
      </c>
      <c r="H426" s="2" t="s">
        <v>11</v>
      </c>
      <c r="I426" s="5">
        <v>715.08</v>
      </c>
      <c r="J426" s="2">
        <v>4</v>
      </c>
      <c r="K426" s="4">
        <v>68.92</v>
      </c>
    </row>
    <row r="427" spans="1:11" x14ac:dyDescent="0.3">
      <c r="A427" s="3">
        <v>45977</v>
      </c>
      <c r="B427" s="10">
        <f>YEAR(Table1[[#This Row],[Order Date]])</f>
        <v>2025</v>
      </c>
      <c r="C427" s="10">
        <f>MONTH(Table1[[#This Row],[Order Date]])</f>
        <v>11</v>
      </c>
      <c r="D427" s="2" t="s">
        <v>96</v>
      </c>
      <c r="E427" s="2" t="s">
        <v>39</v>
      </c>
      <c r="F427" s="2" t="s">
        <v>28</v>
      </c>
      <c r="G427" s="1" t="s">
        <v>137</v>
      </c>
      <c r="H427" s="2" t="s">
        <v>29</v>
      </c>
      <c r="I427" s="5">
        <v>1112.1099999999999</v>
      </c>
      <c r="J427" s="2">
        <v>2</v>
      </c>
      <c r="K427" s="4">
        <v>263.8</v>
      </c>
    </row>
    <row r="428" spans="1:11" x14ac:dyDescent="0.3">
      <c r="A428" s="3">
        <v>45979</v>
      </c>
      <c r="B428" s="10">
        <f>YEAR(Table1[[#This Row],[Order Date]])</f>
        <v>2025</v>
      </c>
      <c r="C428" s="10">
        <f>MONTH(Table1[[#This Row],[Order Date]])</f>
        <v>11</v>
      </c>
      <c r="D428" s="2" t="s">
        <v>38</v>
      </c>
      <c r="E428" s="2" t="s">
        <v>15</v>
      </c>
      <c r="F428" s="2" t="s">
        <v>28</v>
      </c>
      <c r="G428" s="1" t="s">
        <v>137</v>
      </c>
      <c r="H428" s="2" t="s">
        <v>35</v>
      </c>
      <c r="I428" s="5">
        <v>686.86</v>
      </c>
      <c r="J428" s="2">
        <v>5</v>
      </c>
      <c r="K428" s="4">
        <v>45.23</v>
      </c>
    </row>
    <row r="429" spans="1:11" x14ac:dyDescent="0.3">
      <c r="A429" s="3">
        <v>45981</v>
      </c>
      <c r="B429" s="10">
        <f>YEAR(Table1[[#This Row],[Order Date]])</f>
        <v>2025</v>
      </c>
      <c r="C429" s="10">
        <f>MONTH(Table1[[#This Row],[Order Date]])</f>
        <v>11</v>
      </c>
      <c r="D429" s="2" t="s">
        <v>46</v>
      </c>
      <c r="E429" s="2" t="s">
        <v>34</v>
      </c>
      <c r="F429" s="2" t="s">
        <v>10</v>
      </c>
      <c r="G429" s="1" t="s">
        <v>135</v>
      </c>
      <c r="H429" s="2" t="s">
        <v>49</v>
      </c>
      <c r="I429" s="5">
        <v>1392.84</v>
      </c>
      <c r="J429" s="2">
        <v>1</v>
      </c>
      <c r="K429" s="4">
        <v>199.23</v>
      </c>
    </row>
    <row r="430" spans="1:11" x14ac:dyDescent="0.3">
      <c r="A430" s="3">
        <v>45982</v>
      </c>
      <c r="B430" s="10">
        <f>YEAR(Table1[[#This Row],[Order Date]])</f>
        <v>2025</v>
      </c>
      <c r="C430" s="10">
        <f>MONTH(Table1[[#This Row],[Order Date]])</f>
        <v>11</v>
      </c>
      <c r="D430" s="2" t="s">
        <v>50</v>
      </c>
      <c r="E430" s="2" t="s">
        <v>77</v>
      </c>
      <c r="F430" s="2" t="s">
        <v>10</v>
      </c>
      <c r="G430" s="1" t="s">
        <v>135</v>
      </c>
      <c r="H430" s="2" t="s">
        <v>23</v>
      </c>
      <c r="I430" s="5">
        <v>1304.6600000000001</v>
      </c>
      <c r="J430" s="2">
        <v>1</v>
      </c>
      <c r="K430" s="4">
        <v>104.44</v>
      </c>
    </row>
    <row r="431" spans="1:11" x14ac:dyDescent="0.3">
      <c r="A431" s="3">
        <v>45982</v>
      </c>
      <c r="B431" s="10">
        <f>YEAR(Table1[[#This Row],[Order Date]])</f>
        <v>2025</v>
      </c>
      <c r="C431" s="10">
        <f>MONTH(Table1[[#This Row],[Order Date]])</f>
        <v>11</v>
      </c>
      <c r="D431" s="2" t="s">
        <v>48</v>
      </c>
      <c r="E431" s="2" t="s">
        <v>31</v>
      </c>
      <c r="F431" s="2" t="s">
        <v>10</v>
      </c>
      <c r="G431" s="1" t="s">
        <v>135</v>
      </c>
      <c r="H431" s="2" t="s">
        <v>11</v>
      </c>
      <c r="I431" s="5">
        <v>1402.31</v>
      </c>
      <c r="J431" s="2">
        <v>3</v>
      </c>
      <c r="K431" s="4">
        <v>105.67</v>
      </c>
    </row>
    <row r="432" spans="1:11" x14ac:dyDescent="0.3">
      <c r="A432" s="3">
        <v>45983</v>
      </c>
      <c r="B432" s="10">
        <f>YEAR(Table1[[#This Row],[Order Date]])</f>
        <v>2025</v>
      </c>
      <c r="C432" s="10">
        <f>MONTH(Table1[[#This Row],[Order Date]])</f>
        <v>11</v>
      </c>
      <c r="D432" s="2" t="s">
        <v>76</v>
      </c>
      <c r="E432" s="2" t="s">
        <v>31</v>
      </c>
      <c r="F432" s="2" t="s">
        <v>10</v>
      </c>
      <c r="G432" s="1" t="s">
        <v>135</v>
      </c>
      <c r="H432" s="2" t="s">
        <v>11</v>
      </c>
      <c r="I432" s="5">
        <v>933.35</v>
      </c>
      <c r="J432" s="2">
        <v>3</v>
      </c>
      <c r="K432" s="4">
        <v>79.16</v>
      </c>
    </row>
    <row r="433" spans="1:11" x14ac:dyDescent="0.3">
      <c r="A433" s="3">
        <v>45986</v>
      </c>
      <c r="B433" s="10">
        <f>YEAR(Table1[[#This Row],[Order Date]])</f>
        <v>2025</v>
      </c>
      <c r="C433" s="10">
        <f>MONTH(Table1[[#This Row],[Order Date]])</f>
        <v>11</v>
      </c>
      <c r="D433" s="2" t="s">
        <v>132</v>
      </c>
      <c r="E433" s="2" t="s">
        <v>18</v>
      </c>
      <c r="F433" s="2" t="s">
        <v>10</v>
      </c>
      <c r="G433" s="1" t="s">
        <v>135</v>
      </c>
      <c r="H433" s="2" t="s">
        <v>11</v>
      </c>
      <c r="I433" s="5">
        <v>1101.8699999999999</v>
      </c>
      <c r="J433" s="2">
        <v>3</v>
      </c>
      <c r="K433" s="4">
        <v>263.95</v>
      </c>
    </row>
    <row r="434" spans="1:11" x14ac:dyDescent="0.3">
      <c r="A434" s="3">
        <v>45987</v>
      </c>
      <c r="B434" s="10">
        <f>YEAR(Table1[[#This Row],[Order Date]])</f>
        <v>2025</v>
      </c>
      <c r="C434" s="10">
        <f>MONTH(Table1[[#This Row],[Order Date]])</f>
        <v>11</v>
      </c>
      <c r="D434" s="2" t="s">
        <v>53</v>
      </c>
      <c r="E434" s="2" t="s">
        <v>39</v>
      </c>
      <c r="F434" s="2" t="s">
        <v>10</v>
      </c>
      <c r="G434" s="1" t="s">
        <v>135</v>
      </c>
      <c r="H434" s="2" t="s">
        <v>11</v>
      </c>
      <c r="I434" s="5">
        <v>540.88</v>
      </c>
      <c r="J434" s="2">
        <v>1</v>
      </c>
      <c r="K434" s="4">
        <v>63.84</v>
      </c>
    </row>
    <row r="435" spans="1:11" x14ac:dyDescent="0.3">
      <c r="A435" s="3">
        <v>45988</v>
      </c>
      <c r="B435" s="10">
        <f>YEAR(Table1[[#This Row],[Order Date]])</f>
        <v>2025</v>
      </c>
      <c r="C435" s="10">
        <f>MONTH(Table1[[#This Row],[Order Date]])</f>
        <v>11</v>
      </c>
      <c r="D435" s="2" t="s">
        <v>87</v>
      </c>
      <c r="E435" s="2" t="s">
        <v>9</v>
      </c>
      <c r="F435" s="2" t="s">
        <v>28</v>
      </c>
      <c r="G435" s="1" t="s">
        <v>137</v>
      </c>
      <c r="H435" s="2" t="s">
        <v>69</v>
      </c>
      <c r="I435" s="5">
        <v>575.24</v>
      </c>
      <c r="J435" s="2">
        <v>3</v>
      </c>
      <c r="K435" s="4">
        <v>134.66</v>
      </c>
    </row>
    <row r="436" spans="1:11" x14ac:dyDescent="0.3">
      <c r="A436" s="3">
        <v>45989</v>
      </c>
      <c r="B436" s="10">
        <f>YEAR(Table1[[#This Row],[Order Date]])</f>
        <v>2025</v>
      </c>
      <c r="C436" s="10">
        <f>MONTH(Table1[[#This Row],[Order Date]])</f>
        <v>11</v>
      </c>
      <c r="D436" s="2" t="s">
        <v>8</v>
      </c>
      <c r="E436" s="2" t="s">
        <v>9</v>
      </c>
      <c r="F436" s="2" t="s">
        <v>10</v>
      </c>
      <c r="G436" s="1" t="s">
        <v>135</v>
      </c>
      <c r="H436" s="2" t="s">
        <v>11</v>
      </c>
      <c r="I436" s="5">
        <v>1426.56</v>
      </c>
      <c r="J436" s="2">
        <v>3</v>
      </c>
      <c r="K436" s="4">
        <v>349.4</v>
      </c>
    </row>
    <row r="437" spans="1:11" x14ac:dyDescent="0.3">
      <c r="A437" s="3">
        <v>45989</v>
      </c>
      <c r="B437" s="10">
        <f>YEAR(Table1[[#This Row],[Order Date]])</f>
        <v>2025</v>
      </c>
      <c r="C437" s="10">
        <f>MONTH(Table1[[#This Row],[Order Date]])</f>
        <v>11</v>
      </c>
      <c r="D437" s="2" t="s">
        <v>96</v>
      </c>
      <c r="E437" s="2" t="s">
        <v>39</v>
      </c>
      <c r="F437" s="2" t="s">
        <v>10</v>
      </c>
      <c r="G437" s="1" t="s">
        <v>135</v>
      </c>
      <c r="H437" s="2" t="s">
        <v>11</v>
      </c>
      <c r="I437" s="5">
        <v>103.19</v>
      </c>
      <c r="J437" s="2">
        <v>4</v>
      </c>
      <c r="K437" s="4">
        <v>24.14</v>
      </c>
    </row>
    <row r="438" spans="1:11" x14ac:dyDescent="0.3">
      <c r="A438" s="3">
        <v>45991</v>
      </c>
      <c r="B438" s="10">
        <f>YEAR(Table1[[#This Row],[Order Date]])</f>
        <v>2025</v>
      </c>
      <c r="C438" s="10">
        <f>MONTH(Table1[[#This Row],[Order Date]])</f>
        <v>11</v>
      </c>
      <c r="D438" s="2" t="s">
        <v>64</v>
      </c>
      <c r="E438" s="2" t="s">
        <v>39</v>
      </c>
      <c r="F438" s="2" t="s">
        <v>19</v>
      </c>
      <c r="G438" s="1" t="s">
        <v>136</v>
      </c>
      <c r="H438" s="2" t="s">
        <v>20</v>
      </c>
      <c r="I438" s="5">
        <v>602.38</v>
      </c>
      <c r="J438" s="2">
        <v>2</v>
      </c>
      <c r="K438" s="4">
        <v>156.27000000000001</v>
      </c>
    </row>
    <row r="439" spans="1:11" x14ac:dyDescent="0.3">
      <c r="A439" s="3">
        <v>45993</v>
      </c>
      <c r="B439" s="10">
        <f>YEAR(Table1[[#This Row],[Order Date]])</f>
        <v>2025</v>
      </c>
      <c r="C439" s="10">
        <f>MONTH(Table1[[#This Row],[Order Date]])</f>
        <v>12</v>
      </c>
      <c r="D439" s="2" t="s">
        <v>57</v>
      </c>
      <c r="E439" s="2" t="s">
        <v>37</v>
      </c>
      <c r="F439" s="2" t="s">
        <v>19</v>
      </c>
      <c r="G439" s="1" t="s">
        <v>136</v>
      </c>
      <c r="H439" s="2" t="s">
        <v>65</v>
      </c>
      <c r="I439" s="5">
        <v>732.06</v>
      </c>
      <c r="J439" s="2">
        <v>2</v>
      </c>
      <c r="K439" s="4">
        <v>47.18</v>
      </c>
    </row>
    <row r="440" spans="1:11" x14ac:dyDescent="0.3">
      <c r="A440" s="3">
        <v>45993</v>
      </c>
      <c r="B440" s="10">
        <f>YEAR(Table1[[#This Row],[Order Date]])</f>
        <v>2025</v>
      </c>
      <c r="C440" s="10">
        <f>MONTH(Table1[[#This Row],[Order Date]])</f>
        <v>12</v>
      </c>
      <c r="D440" s="2" t="s">
        <v>132</v>
      </c>
      <c r="E440" s="2" t="s">
        <v>77</v>
      </c>
      <c r="F440" s="2" t="s">
        <v>19</v>
      </c>
      <c r="G440" s="1" t="s">
        <v>136</v>
      </c>
      <c r="H440" s="2" t="s">
        <v>40</v>
      </c>
      <c r="I440" s="5">
        <v>1101.6300000000001</v>
      </c>
      <c r="J440" s="2">
        <v>3</v>
      </c>
      <c r="K440" s="4">
        <v>141.33000000000001</v>
      </c>
    </row>
    <row r="441" spans="1:11" x14ac:dyDescent="0.3">
      <c r="A441" s="3">
        <v>45994</v>
      </c>
      <c r="B441" s="10">
        <f>YEAR(Table1[[#This Row],[Order Date]])</f>
        <v>2025</v>
      </c>
      <c r="C441" s="10">
        <f>MONTH(Table1[[#This Row],[Order Date]])</f>
        <v>12</v>
      </c>
      <c r="D441" s="2" t="s">
        <v>8</v>
      </c>
      <c r="E441" s="2" t="s">
        <v>15</v>
      </c>
      <c r="F441" s="2" t="s">
        <v>28</v>
      </c>
      <c r="G441" s="1" t="s">
        <v>137</v>
      </c>
      <c r="H441" s="2" t="s">
        <v>29</v>
      </c>
      <c r="I441" s="5">
        <v>500.29</v>
      </c>
      <c r="J441" s="2">
        <v>1</v>
      </c>
      <c r="K441" s="4">
        <v>93.91</v>
      </c>
    </row>
    <row r="442" spans="1:11" x14ac:dyDescent="0.3">
      <c r="A442" s="3">
        <v>45996</v>
      </c>
      <c r="B442" s="10">
        <f>YEAR(Table1[[#This Row],[Order Date]])</f>
        <v>2025</v>
      </c>
      <c r="C442" s="10">
        <f>MONTH(Table1[[#This Row],[Order Date]])</f>
        <v>12</v>
      </c>
      <c r="D442" s="2" t="s">
        <v>102</v>
      </c>
      <c r="E442" s="2" t="s">
        <v>34</v>
      </c>
      <c r="F442" s="2" t="s">
        <v>19</v>
      </c>
      <c r="G442" s="1" t="s">
        <v>136</v>
      </c>
      <c r="H442" s="2" t="s">
        <v>65</v>
      </c>
      <c r="I442" s="5">
        <v>343.54</v>
      </c>
      <c r="J442" s="2">
        <v>5</v>
      </c>
      <c r="K442" s="4">
        <v>31.69</v>
      </c>
    </row>
    <row r="443" spans="1:11" x14ac:dyDescent="0.3">
      <c r="A443" s="3">
        <v>45997</v>
      </c>
      <c r="B443" s="10">
        <f>YEAR(Table1[[#This Row],[Order Date]])</f>
        <v>2025</v>
      </c>
      <c r="C443" s="10">
        <f>MONTH(Table1[[#This Row],[Order Date]])</f>
        <v>12</v>
      </c>
      <c r="D443" s="2" t="s">
        <v>86</v>
      </c>
      <c r="E443" s="2" t="s">
        <v>15</v>
      </c>
      <c r="F443" s="2" t="s">
        <v>19</v>
      </c>
      <c r="G443" s="1" t="s">
        <v>136</v>
      </c>
      <c r="H443" s="2" t="s">
        <v>32</v>
      </c>
      <c r="I443" s="5">
        <v>566.23</v>
      </c>
      <c r="J443" s="2">
        <v>2</v>
      </c>
      <c r="K443" s="4">
        <v>155.35</v>
      </c>
    </row>
    <row r="444" spans="1:11" x14ac:dyDescent="0.3">
      <c r="A444" s="3">
        <v>45997</v>
      </c>
      <c r="B444" s="10">
        <f>YEAR(Table1[[#This Row],[Order Date]])</f>
        <v>2025</v>
      </c>
      <c r="C444" s="10">
        <f>MONTH(Table1[[#This Row],[Order Date]])</f>
        <v>12</v>
      </c>
      <c r="D444" s="2" t="s">
        <v>21</v>
      </c>
      <c r="E444" s="2" t="s">
        <v>34</v>
      </c>
      <c r="F444" s="2" t="s">
        <v>10</v>
      </c>
      <c r="G444" s="1" t="s">
        <v>135</v>
      </c>
      <c r="H444" s="2" t="s">
        <v>49</v>
      </c>
      <c r="I444" s="5">
        <v>217.64</v>
      </c>
      <c r="J444" s="2">
        <v>3</v>
      </c>
      <c r="K444" s="4">
        <v>33.83</v>
      </c>
    </row>
    <row r="445" spans="1:11" x14ac:dyDescent="0.3">
      <c r="A445" s="3">
        <v>45997</v>
      </c>
      <c r="B445" s="10">
        <f>YEAR(Table1[[#This Row],[Order Date]])</f>
        <v>2025</v>
      </c>
      <c r="C445" s="10">
        <f>MONTH(Table1[[#This Row],[Order Date]])</f>
        <v>12</v>
      </c>
      <c r="D445" s="2" t="s">
        <v>84</v>
      </c>
      <c r="E445" s="2" t="s">
        <v>77</v>
      </c>
      <c r="F445" s="2" t="s">
        <v>19</v>
      </c>
      <c r="G445" s="1" t="s">
        <v>136</v>
      </c>
      <c r="H445" s="2" t="s">
        <v>45</v>
      </c>
      <c r="I445" s="5">
        <v>266.05</v>
      </c>
      <c r="J445" s="2">
        <v>3</v>
      </c>
      <c r="K445" s="4">
        <v>62.59</v>
      </c>
    </row>
    <row r="446" spans="1:11" x14ac:dyDescent="0.3">
      <c r="A446" s="3">
        <v>45998</v>
      </c>
      <c r="B446" s="10">
        <f>YEAR(Table1[[#This Row],[Order Date]])</f>
        <v>2025</v>
      </c>
      <c r="C446" s="10">
        <f>MONTH(Table1[[#This Row],[Order Date]])</f>
        <v>12</v>
      </c>
      <c r="D446" s="2" t="s">
        <v>89</v>
      </c>
      <c r="E446" s="2" t="s">
        <v>31</v>
      </c>
      <c r="F446" s="2" t="s">
        <v>10</v>
      </c>
      <c r="G446" s="1" t="s">
        <v>135</v>
      </c>
      <c r="H446" s="2" t="s">
        <v>11</v>
      </c>
      <c r="I446" s="5">
        <v>1492.34</v>
      </c>
      <c r="J446" s="2">
        <v>1</v>
      </c>
      <c r="K446" s="4">
        <v>441.74</v>
      </c>
    </row>
    <row r="447" spans="1:11" x14ac:dyDescent="0.3">
      <c r="A447" s="3">
        <v>45998</v>
      </c>
      <c r="B447" s="10">
        <f>YEAR(Table1[[#This Row],[Order Date]])</f>
        <v>2025</v>
      </c>
      <c r="C447" s="10">
        <f>MONTH(Table1[[#This Row],[Order Date]])</f>
        <v>12</v>
      </c>
      <c r="D447" s="2" t="s">
        <v>46</v>
      </c>
      <c r="E447" s="2" t="s">
        <v>34</v>
      </c>
      <c r="F447" s="2" t="s">
        <v>10</v>
      </c>
      <c r="G447" s="1" t="s">
        <v>135</v>
      </c>
      <c r="H447" s="2" t="s">
        <v>11</v>
      </c>
      <c r="I447" s="5">
        <v>96.03</v>
      </c>
      <c r="J447" s="2">
        <v>4</v>
      </c>
      <c r="K447" s="4">
        <v>16.010000000000002</v>
      </c>
    </row>
    <row r="448" spans="1:11" x14ac:dyDescent="0.3">
      <c r="A448" s="3">
        <v>45999</v>
      </c>
      <c r="B448" s="10">
        <f>YEAR(Table1[[#This Row],[Order Date]])</f>
        <v>2025</v>
      </c>
      <c r="C448" s="10">
        <f>MONTH(Table1[[#This Row],[Order Date]])</f>
        <v>12</v>
      </c>
      <c r="D448" s="2" t="s">
        <v>112</v>
      </c>
      <c r="E448" s="2" t="s">
        <v>37</v>
      </c>
      <c r="F448" s="2" t="s">
        <v>28</v>
      </c>
      <c r="G448" s="1" t="s">
        <v>137</v>
      </c>
      <c r="H448" s="2" t="s">
        <v>29</v>
      </c>
      <c r="I448" s="5">
        <v>1201.8699999999999</v>
      </c>
      <c r="J448" s="2">
        <v>3</v>
      </c>
      <c r="K448" s="4">
        <v>326.75</v>
      </c>
    </row>
    <row r="449" spans="1:11" x14ac:dyDescent="0.3">
      <c r="A449" s="3">
        <v>45999</v>
      </c>
      <c r="B449" s="10">
        <f>YEAR(Table1[[#This Row],[Order Date]])</f>
        <v>2025</v>
      </c>
      <c r="C449" s="10">
        <f>MONTH(Table1[[#This Row],[Order Date]])</f>
        <v>12</v>
      </c>
      <c r="D449" s="2" t="s">
        <v>96</v>
      </c>
      <c r="E449" s="2" t="s">
        <v>34</v>
      </c>
      <c r="F449" s="2" t="s">
        <v>19</v>
      </c>
      <c r="G449" s="1" t="s">
        <v>136</v>
      </c>
      <c r="H449" s="2" t="s">
        <v>40</v>
      </c>
      <c r="I449" s="5">
        <v>692.7</v>
      </c>
      <c r="J449" s="2">
        <v>5</v>
      </c>
      <c r="K449" s="4">
        <v>156.9</v>
      </c>
    </row>
    <row r="450" spans="1:11" x14ac:dyDescent="0.3">
      <c r="A450" s="3">
        <v>46000</v>
      </c>
      <c r="B450" s="10">
        <f>YEAR(Table1[[#This Row],[Order Date]])</f>
        <v>2025</v>
      </c>
      <c r="C450" s="10">
        <f>MONTH(Table1[[#This Row],[Order Date]])</f>
        <v>12</v>
      </c>
      <c r="D450" s="2" t="s">
        <v>50</v>
      </c>
      <c r="E450" s="2" t="s">
        <v>25</v>
      </c>
      <c r="F450" s="2" t="s">
        <v>10</v>
      </c>
      <c r="G450" s="1" t="s">
        <v>135</v>
      </c>
      <c r="H450" s="2" t="s">
        <v>16</v>
      </c>
      <c r="I450" s="5">
        <v>814.36</v>
      </c>
      <c r="J450" s="2">
        <v>5</v>
      </c>
      <c r="K450" s="4">
        <v>87.3</v>
      </c>
    </row>
    <row r="451" spans="1:11" x14ac:dyDescent="0.3">
      <c r="A451" s="3">
        <v>46000</v>
      </c>
      <c r="B451" s="10">
        <f>YEAR(Table1[[#This Row],[Order Date]])</f>
        <v>2025</v>
      </c>
      <c r="C451" s="10">
        <f>MONTH(Table1[[#This Row],[Order Date]])</f>
        <v>12</v>
      </c>
      <c r="D451" s="2" t="s">
        <v>74</v>
      </c>
      <c r="E451" s="2" t="s">
        <v>31</v>
      </c>
      <c r="F451" s="2" t="s">
        <v>10</v>
      </c>
      <c r="G451" s="1" t="s">
        <v>135</v>
      </c>
      <c r="H451" s="2" t="s">
        <v>13</v>
      </c>
      <c r="I451" s="5">
        <v>11.53</v>
      </c>
      <c r="J451" s="2">
        <v>2</v>
      </c>
      <c r="K451" s="4">
        <v>1.37</v>
      </c>
    </row>
    <row r="452" spans="1:11" x14ac:dyDescent="0.3">
      <c r="A452" s="3">
        <v>46000</v>
      </c>
      <c r="B452" s="10">
        <f>YEAR(Table1[[#This Row],[Order Date]])</f>
        <v>2025</v>
      </c>
      <c r="C452" s="10">
        <f>MONTH(Table1[[#This Row],[Order Date]])</f>
        <v>12</v>
      </c>
      <c r="D452" s="2" t="s">
        <v>103</v>
      </c>
      <c r="E452" s="2" t="s">
        <v>25</v>
      </c>
      <c r="F452" s="2" t="s">
        <v>10</v>
      </c>
      <c r="G452" s="1" t="s">
        <v>135</v>
      </c>
      <c r="H452" s="2" t="s">
        <v>49</v>
      </c>
      <c r="I452" s="5">
        <v>499.29</v>
      </c>
      <c r="J452" s="2">
        <v>1</v>
      </c>
      <c r="K452" s="4">
        <v>70.709999999999994</v>
      </c>
    </row>
    <row r="453" spans="1:11" x14ac:dyDescent="0.3">
      <c r="A453" s="3">
        <v>46000</v>
      </c>
      <c r="B453" s="10">
        <f>YEAR(Table1[[#This Row],[Order Date]])</f>
        <v>2025</v>
      </c>
      <c r="C453" s="10">
        <f>MONTH(Table1[[#This Row],[Order Date]])</f>
        <v>12</v>
      </c>
      <c r="D453" s="2" t="s">
        <v>33</v>
      </c>
      <c r="E453" s="2" t="s">
        <v>18</v>
      </c>
      <c r="F453" s="2" t="s">
        <v>19</v>
      </c>
      <c r="G453" s="1" t="s">
        <v>136</v>
      </c>
      <c r="H453" s="2" t="s">
        <v>40</v>
      </c>
      <c r="I453" s="5">
        <v>104.82</v>
      </c>
      <c r="J453" s="2">
        <v>4</v>
      </c>
      <c r="K453" s="4">
        <v>11.01</v>
      </c>
    </row>
    <row r="454" spans="1:11" x14ac:dyDescent="0.3">
      <c r="A454" s="3">
        <v>46001</v>
      </c>
      <c r="B454" s="10">
        <f>YEAR(Table1[[#This Row],[Order Date]])</f>
        <v>2025</v>
      </c>
      <c r="C454" s="10">
        <f>MONTH(Table1[[#This Row],[Order Date]])</f>
        <v>12</v>
      </c>
      <c r="D454" s="2" t="s">
        <v>103</v>
      </c>
      <c r="E454" s="2" t="s">
        <v>39</v>
      </c>
      <c r="F454" s="2" t="s">
        <v>28</v>
      </c>
      <c r="G454" s="1" t="s">
        <v>137</v>
      </c>
      <c r="H454" s="2" t="s">
        <v>35</v>
      </c>
      <c r="I454" s="5">
        <v>201.84</v>
      </c>
      <c r="J454" s="2">
        <v>2</v>
      </c>
      <c r="K454" s="4">
        <v>44.93</v>
      </c>
    </row>
    <row r="455" spans="1:11" x14ac:dyDescent="0.3">
      <c r="A455" s="3">
        <v>46001</v>
      </c>
      <c r="B455" s="10">
        <f>YEAR(Table1[[#This Row],[Order Date]])</f>
        <v>2025</v>
      </c>
      <c r="C455" s="10">
        <f>MONTH(Table1[[#This Row],[Order Date]])</f>
        <v>12</v>
      </c>
      <c r="D455" s="2" t="s">
        <v>62</v>
      </c>
      <c r="E455" s="2" t="s">
        <v>39</v>
      </c>
      <c r="F455" s="2" t="s">
        <v>28</v>
      </c>
      <c r="G455" s="1" t="s">
        <v>137</v>
      </c>
      <c r="H455" s="2" t="s">
        <v>58</v>
      </c>
      <c r="I455" s="5">
        <v>1089.99</v>
      </c>
      <c r="J455" s="2">
        <v>4</v>
      </c>
      <c r="K455" s="4">
        <v>121.83</v>
      </c>
    </row>
    <row r="456" spans="1:11" x14ac:dyDescent="0.3">
      <c r="A456" s="3">
        <v>46001</v>
      </c>
      <c r="B456" s="10">
        <f>YEAR(Table1[[#This Row],[Order Date]])</f>
        <v>2025</v>
      </c>
      <c r="C456" s="10">
        <f>MONTH(Table1[[#This Row],[Order Date]])</f>
        <v>12</v>
      </c>
      <c r="D456" s="2" t="s">
        <v>106</v>
      </c>
      <c r="E456" s="2" t="s">
        <v>9</v>
      </c>
      <c r="F456" s="2" t="s">
        <v>10</v>
      </c>
      <c r="G456" s="1" t="s">
        <v>135</v>
      </c>
      <c r="H456" s="2" t="s">
        <v>16</v>
      </c>
      <c r="I456" s="5">
        <v>188.55</v>
      </c>
      <c r="J456" s="2">
        <v>3</v>
      </c>
      <c r="K456" s="4">
        <v>16.61</v>
      </c>
    </row>
    <row r="457" spans="1:11" x14ac:dyDescent="0.3">
      <c r="A457" s="3">
        <v>46001</v>
      </c>
      <c r="B457" s="10">
        <f>YEAR(Table1[[#This Row],[Order Date]])</f>
        <v>2025</v>
      </c>
      <c r="C457" s="10">
        <f>MONTH(Table1[[#This Row],[Order Date]])</f>
        <v>12</v>
      </c>
      <c r="D457" s="2" t="s">
        <v>57</v>
      </c>
      <c r="E457" s="2" t="s">
        <v>31</v>
      </c>
      <c r="F457" s="2" t="s">
        <v>19</v>
      </c>
      <c r="G457" s="1" t="s">
        <v>136</v>
      </c>
      <c r="H457" s="2" t="s">
        <v>40</v>
      </c>
      <c r="I457" s="5">
        <v>767.78</v>
      </c>
      <c r="J457" s="2">
        <v>2</v>
      </c>
      <c r="K457" s="4">
        <v>127.06</v>
      </c>
    </row>
    <row r="458" spans="1:11" x14ac:dyDescent="0.3">
      <c r="A458" s="3">
        <v>46001</v>
      </c>
      <c r="B458" s="10">
        <f>YEAR(Table1[[#This Row],[Order Date]])</f>
        <v>2025</v>
      </c>
      <c r="C458" s="10">
        <f>MONTH(Table1[[#This Row],[Order Date]])</f>
        <v>12</v>
      </c>
      <c r="D458" s="2" t="s">
        <v>88</v>
      </c>
      <c r="E458" s="2" t="s">
        <v>37</v>
      </c>
      <c r="F458" s="2" t="s">
        <v>19</v>
      </c>
      <c r="G458" s="1" t="s">
        <v>136</v>
      </c>
      <c r="H458" s="2" t="s">
        <v>32</v>
      </c>
      <c r="I458" s="5">
        <v>10.28</v>
      </c>
      <c r="J458" s="2">
        <v>3</v>
      </c>
      <c r="K458" s="4">
        <v>0.8</v>
      </c>
    </row>
    <row r="459" spans="1:11" x14ac:dyDescent="0.3">
      <c r="A459" s="3">
        <v>46002</v>
      </c>
      <c r="B459" s="10">
        <f>YEAR(Table1[[#This Row],[Order Date]])</f>
        <v>2025</v>
      </c>
      <c r="C459" s="10">
        <f>MONTH(Table1[[#This Row],[Order Date]])</f>
        <v>12</v>
      </c>
      <c r="D459" s="2" t="s">
        <v>107</v>
      </c>
      <c r="E459" s="2" t="s">
        <v>22</v>
      </c>
      <c r="F459" s="2" t="s">
        <v>19</v>
      </c>
      <c r="G459" s="1" t="s">
        <v>136</v>
      </c>
      <c r="H459" s="2" t="s">
        <v>65</v>
      </c>
      <c r="I459" s="5">
        <v>1206.25</v>
      </c>
      <c r="J459" s="2">
        <v>5</v>
      </c>
      <c r="K459" s="4">
        <v>242.37</v>
      </c>
    </row>
    <row r="460" spans="1:11" x14ac:dyDescent="0.3">
      <c r="A460" s="3">
        <v>46002</v>
      </c>
      <c r="B460" s="10">
        <f>YEAR(Table1[[#This Row],[Order Date]])</f>
        <v>2025</v>
      </c>
      <c r="C460" s="10">
        <f>MONTH(Table1[[#This Row],[Order Date]])</f>
        <v>12</v>
      </c>
      <c r="D460" s="2" t="s">
        <v>118</v>
      </c>
      <c r="E460" s="2" t="s">
        <v>22</v>
      </c>
      <c r="F460" s="2" t="s">
        <v>19</v>
      </c>
      <c r="G460" s="1" t="s">
        <v>136</v>
      </c>
      <c r="H460" s="2" t="s">
        <v>65</v>
      </c>
      <c r="I460" s="5">
        <v>889.53</v>
      </c>
      <c r="J460" s="2">
        <v>4</v>
      </c>
      <c r="K460" s="4">
        <v>222.02</v>
      </c>
    </row>
    <row r="461" spans="1:11" x14ac:dyDescent="0.3">
      <c r="A461" s="3">
        <v>46003</v>
      </c>
      <c r="B461" s="10">
        <f>YEAR(Table1[[#This Row],[Order Date]])</f>
        <v>2025</v>
      </c>
      <c r="C461" s="10">
        <f>MONTH(Table1[[#This Row],[Order Date]])</f>
        <v>12</v>
      </c>
      <c r="D461" s="2" t="s">
        <v>66</v>
      </c>
      <c r="E461" s="2" t="s">
        <v>34</v>
      </c>
      <c r="F461" s="2" t="s">
        <v>19</v>
      </c>
      <c r="G461" s="1" t="s">
        <v>136</v>
      </c>
      <c r="H461" s="2" t="s">
        <v>40</v>
      </c>
      <c r="I461" s="5">
        <v>827.59</v>
      </c>
      <c r="J461" s="2">
        <v>5</v>
      </c>
      <c r="K461" s="4">
        <v>136.71</v>
      </c>
    </row>
    <row r="462" spans="1:11" x14ac:dyDescent="0.3">
      <c r="A462" s="3">
        <v>46004</v>
      </c>
      <c r="B462" s="10">
        <f>YEAR(Table1[[#This Row],[Order Date]])</f>
        <v>2025</v>
      </c>
      <c r="C462" s="10">
        <f>MONTH(Table1[[#This Row],[Order Date]])</f>
        <v>12</v>
      </c>
      <c r="D462" s="2" t="s">
        <v>99</v>
      </c>
      <c r="E462" s="2" t="s">
        <v>39</v>
      </c>
      <c r="F462" s="2" t="s">
        <v>28</v>
      </c>
      <c r="G462" s="1" t="s">
        <v>137</v>
      </c>
      <c r="H462" s="2" t="s">
        <v>58</v>
      </c>
      <c r="I462" s="5">
        <v>1303.56</v>
      </c>
      <c r="J462" s="2">
        <v>4</v>
      </c>
      <c r="K462" s="4">
        <v>342.37</v>
      </c>
    </row>
    <row r="463" spans="1:11" x14ac:dyDescent="0.3">
      <c r="A463" s="3">
        <v>46005</v>
      </c>
      <c r="B463" s="10">
        <f>YEAR(Table1[[#This Row],[Order Date]])</f>
        <v>2025</v>
      </c>
      <c r="C463" s="10">
        <f>MONTH(Table1[[#This Row],[Order Date]])</f>
        <v>12</v>
      </c>
      <c r="D463" s="2" t="s">
        <v>55</v>
      </c>
      <c r="E463" s="2" t="s">
        <v>37</v>
      </c>
      <c r="F463" s="2" t="s">
        <v>19</v>
      </c>
      <c r="G463" s="1" t="s">
        <v>136</v>
      </c>
      <c r="H463" s="2" t="s">
        <v>32</v>
      </c>
      <c r="I463" s="5">
        <v>411.42</v>
      </c>
      <c r="J463" s="2">
        <v>3</v>
      </c>
      <c r="K463" s="4">
        <v>53.81</v>
      </c>
    </row>
    <row r="464" spans="1:11" x14ac:dyDescent="0.3">
      <c r="A464" s="3">
        <v>46005</v>
      </c>
      <c r="B464" s="10">
        <f>YEAR(Table1[[#This Row],[Order Date]])</f>
        <v>2025</v>
      </c>
      <c r="C464" s="10">
        <f>MONTH(Table1[[#This Row],[Order Date]])</f>
        <v>12</v>
      </c>
      <c r="D464" s="2" t="s">
        <v>86</v>
      </c>
      <c r="E464" s="2" t="s">
        <v>31</v>
      </c>
      <c r="F464" s="2" t="s">
        <v>19</v>
      </c>
      <c r="G464" s="1" t="s">
        <v>136</v>
      </c>
      <c r="H464" s="2" t="s">
        <v>45</v>
      </c>
      <c r="I464" s="5">
        <v>78.540000000000006</v>
      </c>
      <c r="J464" s="2">
        <v>1</v>
      </c>
      <c r="K464" s="4">
        <v>10.039999999999999</v>
      </c>
    </row>
    <row r="465" spans="1:11" x14ac:dyDescent="0.3">
      <c r="A465" s="3">
        <v>46005</v>
      </c>
      <c r="B465" s="10">
        <f>YEAR(Table1[[#This Row],[Order Date]])</f>
        <v>2025</v>
      </c>
      <c r="C465" s="10">
        <f>MONTH(Table1[[#This Row],[Order Date]])</f>
        <v>12</v>
      </c>
      <c r="D465" s="2" t="s">
        <v>52</v>
      </c>
      <c r="E465" s="2" t="s">
        <v>25</v>
      </c>
      <c r="F465" s="2" t="s">
        <v>28</v>
      </c>
      <c r="G465" s="1" t="s">
        <v>137</v>
      </c>
      <c r="H465" s="2" t="s">
        <v>69</v>
      </c>
      <c r="I465" s="5">
        <v>845.8</v>
      </c>
      <c r="J465" s="2">
        <v>3</v>
      </c>
      <c r="K465" s="4">
        <v>127.61</v>
      </c>
    </row>
    <row r="466" spans="1:11" x14ac:dyDescent="0.3">
      <c r="A466" s="3">
        <v>46006</v>
      </c>
      <c r="B466" s="10">
        <f>YEAR(Table1[[#This Row],[Order Date]])</f>
        <v>2025</v>
      </c>
      <c r="C466" s="10">
        <f>MONTH(Table1[[#This Row],[Order Date]])</f>
        <v>12</v>
      </c>
      <c r="D466" s="2" t="s">
        <v>47</v>
      </c>
      <c r="E466" s="2" t="s">
        <v>15</v>
      </c>
      <c r="F466" s="2" t="s">
        <v>19</v>
      </c>
      <c r="G466" s="1" t="s">
        <v>136</v>
      </c>
      <c r="H466" s="2" t="s">
        <v>65</v>
      </c>
      <c r="I466" s="5">
        <v>751.74</v>
      </c>
      <c r="J466" s="2">
        <v>4</v>
      </c>
      <c r="K466" s="4">
        <v>122.48</v>
      </c>
    </row>
    <row r="467" spans="1:11" x14ac:dyDescent="0.3">
      <c r="A467" s="3">
        <v>46007</v>
      </c>
      <c r="B467" s="10">
        <f>YEAR(Table1[[#This Row],[Order Date]])</f>
        <v>2025</v>
      </c>
      <c r="C467" s="10">
        <f>MONTH(Table1[[#This Row],[Order Date]])</f>
        <v>12</v>
      </c>
      <c r="D467" s="2" t="s">
        <v>120</v>
      </c>
      <c r="E467" s="2" t="s">
        <v>37</v>
      </c>
      <c r="F467" s="2" t="s">
        <v>19</v>
      </c>
      <c r="G467" s="1" t="s">
        <v>136</v>
      </c>
      <c r="H467" s="2" t="s">
        <v>45</v>
      </c>
      <c r="I467" s="5">
        <v>421.9</v>
      </c>
      <c r="J467" s="2">
        <v>1</v>
      </c>
      <c r="K467" s="4">
        <v>62.86</v>
      </c>
    </row>
    <row r="468" spans="1:11" x14ac:dyDescent="0.3">
      <c r="A468" s="3">
        <v>46007</v>
      </c>
      <c r="B468" s="10">
        <f>YEAR(Table1[[#This Row],[Order Date]])</f>
        <v>2025</v>
      </c>
      <c r="C468" s="10">
        <f>MONTH(Table1[[#This Row],[Order Date]])</f>
        <v>12</v>
      </c>
      <c r="D468" s="2" t="s">
        <v>102</v>
      </c>
      <c r="E468" s="2" t="s">
        <v>15</v>
      </c>
      <c r="F468" s="2" t="s">
        <v>19</v>
      </c>
      <c r="G468" s="1" t="s">
        <v>136</v>
      </c>
      <c r="H468" s="2" t="s">
        <v>45</v>
      </c>
      <c r="I468" s="5">
        <v>878.65</v>
      </c>
      <c r="J468" s="2">
        <v>5</v>
      </c>
      <c r="K468" s="4">
        <v>141.47</v>
      </c>
    </row>
    <row r="469" spans="1:11" x14ac:dyDescent="0.3">
      <c r="A469" s="3">
        <v>46007</v>
      </c>
      <c r="B469" s="10">
        <f>YEAR(Table1[[#This Row],[Order Date]])</f>
        <v>2025</v>
      </c>
      <c r="C469" s="10">
        <f>MONTH(Table1[[#This Row],[Order Date]])</f>
        <v>12</v>
      </c>
      <c r="D469" s="2" t="s">
        <v>112</v>
      </c>
      <c r="E469" s="2" t="s">
        <v>34</v>
      </c>
      <c r="F469" s="2" t="s">
        <v>28</v>
      </c>
      <c r="G469" s="1" t="s">
        <v>137</v>
      </c>
      <c r="H469" s="2" t="s">
        <v>73</v>
      </c>
      <c r="I469" s="5">
        <v>55.52</v>
      </c>
      <c r="J469" s="2">
        <v>3</v>
      </c>
      <c r="K469" s="4">
        <v>12.39</v>
      </c>
    </row>
    <row r="470" spans="1:11" x14ac:dyDescent="0.3">
      <c r="A470" s="3">
        <v>46008</v>
      </c>
      <c r="B470" s="10">
        <f>YEAR(Table1[[#This Row],[Order Date]])</f>
        <v>2025</v>
      </c>
      <c r="C470" s="10">
        <f>MONTH(Table1[[#This Row],[Order Date]])</f>
        <v>12</v>
      </c>
      <c r="D470" s="2" t="s">
        <v>92</v>
      </c>
      <c r="E470" s="2" t="s">
        <v>34</v>
      </c>
      <c r="F470" s="2" t="s">
        <v>19</v>
      </c>
      <c r="G470" s="1" t="s">
        <v>136</v>
      </c>
      <c r="H470" s="2" t="s">
        <v>32</v>
      </c>
      <c r="I470" s="5">
        <v>201.39</v>
      </c>
      <c r="J470" s="2">
        <v>3</v>
      </c>
      <c r="K470" s="4">
        <v>48.39</v>
      </c>
    </row>
    <row r="471" spans="1:11" x14ac:dyDescent="0.3">
      <c r="A471" s="3">
        <v>46008</v>
      </c>
      <c r="B471" s="10">
        <f>YEAR(Table1[[#This Row],[Order Date]])</f>
        <v>2025</v>
      </c>
      <c r="C471" s="10">
        <f>MONTH(Table1[[#This Row],[Order Date]])</f>
        <v>12</v>
      </c>
      <c r="D471" s="2" t="s">
        <v>106</v>
      </c>
      <c r="E471" s="2" t="s">
        <v>18</v>
      </c>
      <c r="F471" s="2" t="s">
        <v>10</v>
      </c>
      <c r="G471" s="1" t="s">
        <v>135</v>
      </c>
      <c r="H471" s="2" t="s">
        <v>11</v>
      </c>
      <c r="I471" s="5">
        <v>540.4</v>
      </c>
      <c r="J471" s="2">
        <v>3</v>
      </c>
      <c r="K471" s="4">
        <v>34.04</v>
      </c>
    </row>
    <row r="472" spans="1:11" x14ac:dyDescent="0.3">
      <c r="A472" s="3">
        <v>46011</v>
      </c>
      <c r="B472" s="10">
        <f>YEAR(Table1[[#This Row],[Order Date]])</f>
        <v>2025</v>
      </c>
      <c r="C472" s="10">
        <f>MONTH(Table1[[#This Row],[Order Date]])</f>
        <v>12</v>
      </c>
      <c r="D472" s="2" t="s">
        <v>133</v>
      </c>
      <c r="E472" s="2" t="s">
        <v>22</v>
      </c>
      <c r="F472" s="2" t="s">
        <v>19</v>
      </c>
      <c r="G472" s="1" t="s">
        <v>136</v>
      </c>
      <c r="H472" s="2" t="s">
        <v>20</v>
      </c>
      <c r="I472" s="5">
        <v>1437.53</v>
      </c>
      <c r="J472" s="2">
        <v>1</v>
      </c>
      <c r="K472" s="4">
        <v>315.67</v>
      </c>
    </row>
    <row r="473" spans="1:11" x14ac:dyDescent="0.3">
      <c r="A473" s="3">
        <v>46013</v>
      </c>
      <c r="B473" s="10">
        <f>YEAR(Table1[[#This Row],[Order Date]])</f>
        <v>2025</v>
      </c>
      <c r="C473" s="10">
        <f>MONTH(Table1[[#This Row],[Order Date]])</f>
        <v>12</v>
      </c>
      <c r="D473" s="2" t="s">
        <v>50</v>
      </c>
      <c r="E473" s="2" t="s">
        <v>22</v>
      </c>
      <c r="F473" s="2" t="s">
        <v>10</v>
      </c>
      <c r="G473" s="1" t="s">
        <v>135</v>
      </c>
      <c r="H473" s="2" t="s">
        <v>16</v>
      </c>
      <c r="I473" s="5">
        <v>1348.07</v>
      </c>
      <c r="J473" s="2">
        <v>1</v>
      </c>
      <c r="K473" s="4">
        <v>288.05</v>
      </c>
    </row>
    <row r="474" spans="1:11" x14ac:dyDescent="0.3">
      <c r="A474" s="3">
        <v>46013</v>
      </c>
      <c r="B474" s="10">
        <f>YEAR(Table1[[#This Row],[Order Date]])</f>
        <v>2025</v>
      </c>
      <c r="C474" s="10">
        <f>MONTH(Table1[[#This Row],[Order Date]])</f>
        <v>12</v>
      </c>
      <c r="D474" s="2" t="s">
        <v>132</v>
      </c>
      <c r="E474" s="2" t="s">
        <v>25</v>
      </c>
      <c r="F474" s="2" t="s">
        <v>19</v>
      </c>
      <c r="G474" s="1" t="s">
        <v>136</v>
      </c>
      <c r="H474" s="2" t="s">
        <v>20</v>
      </c>
      <c r="I474" s="5">
        <v>1229.1300000000001</v>
      </c>
      <c r="J474" s="2">
        <v>5</v>
      </c>
      <c r="K474" s="4">
        <v>167.54</v>
      </c>
    </row>
    <row r="475" spans="1:11" x14ac:dyDescent="0.3">
      <c r="A475" s="3">
        <v>46015</v>
      </c>
      <c r="B475" s="10">
        <f>YEAR(Table1[[#This Row],[Order Date]])</f>
        <v>2025</v>
      </c>
      <c r="C475" s="10">
        <f>MONTH(Table1[[#This Row],[Order Date]])</f>
        <v>12</v>
      </c>
      <c r="D475" s="2" t="s">
        <v>56</v>
      </c>
      <c r="E475" s="2" t="s">
        <v>22</v>
      </c>
      <c r="F475" s="2" t="s">
        <v>28</v>
      </c>
      <c r="G475" s="1" t="s">
        <v>137</v>
      </c>
      <c r="H475" s="2" t="s">
        <v>58</v>
      </c>
      <c r="I475" s="5">
        <v>140.94999999999999</v>
      </c>
      <c r="J475" s="2">
        <v>1</v>
      </c>
      <c r="K475" s="4">
        <v>9.8699999999999992</v>
      </c>
    </row>
    <row r="476" spans="1:11" x14ac:dyDescent="0.3">
      <c r="A476" s="3">
        <v>46015</v>
      </c>
      <c r="B476" s="10">
        <f>YEAR(Table1[[#This Row],[Order Date]])</f>
        <v>2025</v>
      </c>
      <c r="C476" s="10">
        <f>MONTH(Table1[[#This Row],[Order Date]])</f>
        <v>12</v>
      </c>
      <c r="D476" s="2" t="s">
        <v>51</v>
      </c>
      <c r="E476" s="2" t="s">
        <v>18</v>
      </c>
      <c r="F476" s="2" t="s">
        <v>19</v>
      </c>
      <c r="G476" s="1" t="s">
        <v>136</v>
      </c>
      <c r="H476" s="2" t="s">
        <v>45</v>
      </c>
      <c r="I476" s="5">
        <v>268.89</v>
      </c>
      <c r="J476" s="2">
        <v>4</v>
      </c>
      <c r="K476" s="4">
        <v>18</v>
      </c>
    </row>
    <row r="477" spans="1:11" x14ac:dyDescent="0.3">
      <c r="A477" s="3">
        <v>46015</v>
      </c>
      <c r="B477" s="10">
        <f>YEAR(Table1[[#This Row],[Order Date]])</f>
        <v>2025</v>
      </c>
      <c r="C477" s="10">
        <f>MONTH(Table1[[#This Row],[Order Date]])</f>
        <v>12</v>
      </c>
      <c r="D477" s="2" t="s">
        <v>38</v>
      </c>
      <c r="E477" s="2" t="s">
        <v>25</v>
      </c>
      <c r="F477" s="2" t="s">
        <v>28</v>
      </c>
      <c r="G477" s="1" t="s">
        <v>137</v>
      </c>
      <c r="H477" s="2" t="s">
        <v>69</v>
      </c>
      <c r="I477" s="5">
        <v>1311.4</v>
      </c>
      <c r="J477" s="2">
        <v>2</v>
      </c>
      <c r="K477" s="4">
        <v>325.54000000000002</v>
      </c>
    </row>
    <row r="478" spans="1:11" x14ac:dyDescent="0.3">
      <c r="A478" s="3">
        <v>46016</v>
      </c>
      <c r="B478" s="10">
        <f>YEAR(Table1[[#This Row],[Order Date]])</f>
        <v>2025</v>
      </c>
      <c r="C478" s="10">
        <f>MONTH(Table1[[#This Row],[Order Date]])</f>
        <v>12</v>
      </c>
      <c r="D478" s="2" t="s">
        <v>50</v>
      </c>
      <c r="E478" s="2" t="s">
        <v>34</v>
      </c>
      <c r="F478" s="2" t="s">
        <v>28</v>
      </c>
      <c r="G478" s="1" t="s">
        <v>137</v>
      </c>
      <c r="H478" s="2" t="s">
        <v>35</v>
      </c>
      <c r="I478" s="5">
        <v>1177.9100000000001</v>
      </c>
      <c r="J478" s="2">
        <v>3</v>
      </c>
      <c r="K478" s="4">
        <v>70.900000000000006</v>
      </c>
    </row>
    <row r="479" spans="1:11" x14ac:dyDescent="0.3">
      <c r="A479" s="3">
        <v>46017</v>
      </c>
      <c r="B479" s="10">
        <f>YEAR(Table1[[#This Row],[Order Date]])</f>
        <v>2025</v>
      </c>
      <c r="C479" s="10">
        <f>MONTH(Table1[[#This Row],[Order Date]])</f>
        <v>12</v>
      </c>
      <c r="D479" s="2" t="s">
        <v>104</v>
      </c>
      <c r="E479" s="2" t="s">
        <v>37</v>
      </c>
      <c r="F479" s="2" t="s">
        <v>28</v>
      </c>
      <c r="G479" s="1" t="s">
        <v>137</v>
      </c>
      <c r="H479" s="2" t="s">
        <v>29</v>
      </c>
      <c r="I479" s="5">
        <v>1234.49</v>
      </c>
      <c r="J479" s="2">
        <v>4</v>
      </c>
      <c r="K479" s="4">
        <v>168.99</v>
      </c>
    </row>
    <row r="480" spans="1:11" x14ac:dyDescent="0.3">
      <c r="A480" s="3">
        <v>46018</v>
      </c>
      <c r="B480" s="10">
        <f>YEAR(Table1[[#This Row],[Order Date]])</f>
        <v>2025</v>
      </c>
      <c r="C480" s="10">
        <f>MONTH(Table1[[#This Row],[Order Date]])</f>
        <v>12</v>
      </c>
      <c r="D480" s="2" t="s">
        <v>68</v>
      </c>
      <c r="E480" s="2" t="s">
        <v>22</v>
      </c>
      <c r="F480" s="2" t="s">
        <v>28</v>
      </c>
      <c r="G480" s="1" t="s">
        <v>137</v>
      </c>
      <c r="H480" s="2" t="s">
        <v>73</v>
      </c>
      <c r="I480" s="5">
        <v>1489.52</v>
      </c>
      <c r="J480" s="2">
        <v>5</v>
      </c>
      <c r="K480" s="4">
        <v>168.68</v>
      </c>
    </row>
    <row r="481" spans="1:11" x14ac:dyDescent="0.3">
      <c r="A481" s="3">
        <v>46018</v>
      </c>
      <c r="B481" s="10">
        <f>YEAR(Table1[[#This Row],[Order Date]])</f>
        <v>2025</v>
      </c>
      <c r="C481" s="10">
        <f>MONTH(Table1[[#This Row],[Order Date]])</f>
        <v>12</v>
      </c>
      <c r="D481" s="2" t="s">
        <v>68</v>
      </c>
      <c r="E481" s="2" t="s">
        <v>39</v>
      </c>
      <c r="F481" s="2" t="s">
        <v>19</v>
      </c>
      <c r="G481" s="1" t="s">
        <v>136</v>
      </c>
      <c r="H481" s="2" t="s">
        <v>65</v>
      </c>
      <c r="I481" s="5">
        <v>869.01</v>
      </c>
      <c r="J481" s="2">
        <v>2</v>
      </c>
      <c r="K481" s="4">
        <v>163.85</v>
      </c>
    </row>
    <row r="482" spans="1:11" x14ac:dyDescent="0.3">
      <c r="A482" s="3">
        <v>46018</v>
      </c>
      <c r="B482" s="10">
        <f>YEAR(Table1[[#This Row],[Order Date]])</f>
        <v>2025</v>
      </c>
      <c r="C482" s="10">
        <f>MONTH(Table1[[#This Row],[Order Date]])</f>
        <v>12</v>
      </c>
      <c r="D482" s="2" t="s">
        <v>79</v>
      </c>
      <c r="E482" s="2" t="s">
        <v>37</v>
      </c>
      <c r="F482" s="2" t="s">
        <v>10</v>
      </c>
      <c r="G482" s="1" t="s">
        <v>135</v>
      </c>
      <c r="H482" s="2" t="s">
        <v>23</v>
      </c>
      <c r="I482" s="5">
        <v>485.46</v>
      </c>
      <c r="J482" s="2">
        <v>2</v>
      </c>
      <c r="K482" s="4">
        <v>102.5</v>
      </c>
    </row>
    <row r="483" spans="1:11" x14ac:dyDescent="0.3">
      <c r="A483" s="3">
        <v>46018</v>
      </c>
      <c r="B483" s="10">
        <f>YEAR(Table1[[#This Row],[Order Date]])</f>
        <v>2025</v>
      </c>
      <c r="C483" s="10">
        <f>MONTH(Table1[[#This Row],[Order Date]])</f>
        <v>12</v>
      </c>
      <c r="D483" s="2" t="s">
        <v>47</v>
      </c>
      <c r="E483" s="2" t="s">
        <v>37</v>
      </c>
      <c r="F483" s="2" t="s">
        <v>28</v>
      </c>
      <c r="G483" s="1" t="s">
        <v>137</v>
      </c>
      <c r="H483" s="2" t="s">
        <v>29</v>
      </c>
      <c r="I483" s="5">
        <v>877.43</v>
      </c>
      <c r="J483" s="2">
        <v>1</v>
      </c>
      <c r="K483" s="4">
        <v>56.58</v>
      </c>
    </row>
    <row r="484" spans="1:11" x14ac:dyDescent="0.3">
      <c r="A484" s="3">
        <v>46019</v>
      </c>
      <c r="B484" s="10">
        <f>YEAR(Table1[[#This Row],[Order Date]])</f>
        <v>2025</v>
      </c>
      <c r="C484" s="10">
        <f>MONTH(Table1[[#This Row],[Order Date]])</f>
        <v>12</v>
      </c>
      <c r="D484" s="2" t="s">
        <v>36</v>
      </c>
      <c r="E484" s="2" t="s">
        <v>37</v>
      </c>
      <c r="F484" s="2" t="s">
        <v>28</v>
      </c>
      <c r="G484" s="1" t="s">
        <v>137</v>
      </c>
      <c r="H484" s="2" t="s">
        <v>35</v>
      </c>
      <c r="I484" s="5">
        <v>1343.29</v>
      </c>
      <c r="J484" s="2">
        <v>4</v>
      </c>
      <c r="K484" s="4">
        <v>82.35</v>
      </c>
    </row>
    <row r="485" spans="1:11" x14ac:dyDescent="0.3">
      <c r="A485" s="3">
        <v>46019</v>
      </c>
      <c r="B485" s="10">
        <f>YEAR(Table1[[#This Row],[Order Date]])</f>
        <v>2025</v>
      </c>
      <c r="C485" s="10">
        <f>MONTH(Table1[[#This Row],[Order Date]])</f>
        <v>12</v>
      </c>
      <c r="D485" s="2" t="s">
        <v>87</v>
      </c>
      <c r="E485" s="2" t="s">
        <v>18</v>
      </c>
      <c r="F485" s="2" t="s">
        <v>28</v>
      </c>
      <c r="G485" s="1" t="s">
        <v>137</v>
      </c>
      <c r="H485" s="2" t="s">
        <v>29</v>
      </c>
      <c r="I485" s="5">
        <v>724.24</v>
      </c>
      <c r="J485" s="2">
        <v>1</v>
      </c>
      <c r="K485" s="4">
        <v>203.29</v>
      </c>
    </row>
    <row r="486" spans="1:11" x14ac:dyDescent="0.3">
      <c r="A486" s="3">
        <v>46019</v>
      </c>
      <c r="B486" s="10">
        <f>YEAR(Table1[[#This Row],[Order Date]])</f>
        <v>2025</v>
      </c>
      <c r="C486" s="10">
        <f>MONTH(Table1[[#This Row],[Order Date]])</f>
        <v>12</v>
      </c>
      <c r="D486" s="2" t="s">
        <v>88</v>
      </c>
      <c r="E486" s="2" t="s">
        <v>15</v>
      </c>
      <c r="F486" s="2" t="s">
        <v>28</v>
      </c>
      <c r="G486" s="1" t="s">
        <v>137</v>
      </c>
      <c r="H486" s="2" t="s">
        <v>69</v>
      </c>
      <c r="I486" s="5">
        <v>1173.94</v>
      </c>
      <c r="J486" s="2">
        <v>4</v>
      </c>
      <c r="K486" s="4">
        <v>245.71</v>
      </c>
    </row>
    <row r="487" spans="1:11" x14ac:dyDescent="0.3">
      <c r="A487" s="3">
        <v>46020</v>
      </c>
      <c r="B487" s="10">
        <f>YEAR(Table1[[#This Row],[Order Date]])</f>
        <v>2025</v>
      </c>
      <c r="C487" s="10">
        <f>MONTH(Table1[[#This Row],[Order Date]])</f>
        <v>12</v>
      </c>
      <c r="D487" s="2" t="s">
        <v>96</v>
      </c>
      <c r="E487" s="2" t="s">
        <v>9</v>
      </c>
      <c r="F487" s="2" t="s">
        <v>28</v>
      </c>
      <c r="G487" s="1" t="s">
        <v>137</v>
      </c>
      <c r="H487" s="2" t="s">
        <v>29</v>
      </c>
      <c r="I487" s="5">
        <v>1261.3900000000001</v>
      </c>
      <c r="J487" s="2">
        <v>1</v>
      </c>
      <c r="K487" s="4">
        <v>137.77000000000001</v>
      </c>
    </row>
    <row r="488" spans="1:11" x14ac:dyDescent="0.3">
      <c r="A488" s="3">
        <v>46020</v>
      </c>
      <c r="B488" s="10">
        <f>YEAR(Table1[[#This Row],[Order Date]])</f>
        <v>2025</v>
      </c>
      <c r="C488" s="10">
        <f>MONTH(Table1[[#This Row],[Order Date]])</f>
        <v>12</v>
      </c>
      <c r="D488" s="2" t="s">
        <v>115</v>
      </c>
      <c r="E488" s="2" t="s">
        <v>9</v>
      </c>
      <c r="F488" s="2" t="s">
        <v>10</v>
      </c>
      <c r="G488" s="1" t="s">
        <v>135</v>
      </c>
      <c r="H488" s="2" t="s">
        <v>13</v>
      </c>
      <c r="I488" s="5">
        <v>1280.56</v>
      </c>
      <c r="J488" s="2">
        <v>2</v>
      </c>
      <c r="K488" s="4">
        <v>343.42</v>
      </c>
    </row>
    <row r="489" spans="1:11" x14ac:dyDescent="0.3">
      <c r="A489" s="3">
        <v>46020</v>
      </c>
      <c r="B489" s="10">
        <f>YEAR(Table1[[#This Row],[Order Date]])</f>
        <v>2025</v>
      </c>
      <c r="C489" s="10">
        <f>MONTH(Table1[[#This Row],[Order Date]])</f>
        <v>12</v>
      </c>
      <c r="D489" s="2" t="s">
        <v>85</v>
      </c>
      <c r="E489" s="2" t="s">
        <v>25</v>
      </c>
      <c r="F489" s="2" t="s">
        <v>28</v>
      </c>
      <c r="G489" s="1" t="s">
        <v>137</v>
      </c>
      <c r="H489" s="2" t="s">
        <v>58</v>
      </c>
      <c r="I489" s="5">
        <v>1324.8</v>
      </c>
      <c r="J489" s="2">
        <v>4</v>
      </c>
      <c r="K489" s="4">
        <v>311.24</v>
      </c>
    </row>
    <row r="490" spans="1:11" x14ac:dyDescent="0.3">
      <c r="A490" s="3">
        <v>46021</v>
      </c>
      <c r="B490" s="10">
        <f>YEAR(Table1[[#This Row],[Order Date]])</f>
        <v>2025</v>
      </c>
      <c r="C490" s="10">
        <f>MONTH(Table1[[#This Row],[Order Date]])</f>
        <v>12</v>
      </c>
      <c r="D490" s="2" t="s">
        <v>87</v>
      </c>
      <c r="E490" s="2" t="s">
        <v>25</v>
      </c>
      <c r="F490" s="2" t="s">
        <v>28</v>
      </c>
      <c r="G490" s="1" t="s">
        <v>137</v>
      </c>
      <c r="H490" s="2" t="s">
        <v>35</v>
      </c>
      <c r="I490" s="5">
        <v>1076.08</v>
      </c>
      <c r="J490" s="2">
        <v>3</v>
      </c>
      <c r="K490" s="4">
        <v>58.71</v>
      </c>
    </row>
    <row r="491" spans="1:11" x14ac:dyDescent="0.3">
      <c r="A491" s="3">
        <v>46022</v>
      </c>
      <c r="B491" s="10">
        <f>YEAR(Table1[[#This Row],[Order Date]])</f>
        <v>2025</v>
      </c>
      <c r="C491" s="10">
        <f>MONTH(Table1[[#This Row],[Order Date]])</f>
        <v>12</v>
      </c>
      <c r="D491" s="2" t="s">
        <v>8</v>
      </c>
      <c r="E491" s="2" t="s">
        <v>25</v>
      </c>
      <c r="F491" s="2" t="s">
        <v>10</v>
      </c>
      <c r="G491" s="1" t="s">
        <v>135</v>
      </c>
      <c r="H491" s="2" t="s">
        <v>49</v>
      </c>
      <c r="I491" s="5">
        <v>478.39</v>
      </c>
      <c r="J491" s="2">
        <v>4</v>
      </c>
      <c r="K491" s="4">
        <v>132.46</v>
      </c>
    </row>
    <row r="492" spans="1:11" x14ac:dyDescent="0.3">
      <c r="A492" s="3">
        <v>46022</v>
      </c>
      <c r="B492" s="10">
        <f>YEAR(Table1[[#This Row],[Order Date]])</f>
        <v>2025</v>
      </c>
      <c r="C492" s="10">
        <f>MONTH(Table1[[#This Row],[Order Date]])</f>
        <v>12</v>
      </c>
      <c r="D492" s="2" t="s">
        <v>47</v>
      </c>
      <c r="E492" s="2" t="s">
        <v>15</v>
      </c>
      <c r="F492" s="2" t="s">
        <v>19</v>
      </c>
      <c r="G492" s="1" t="s">
        <v>136</v>
      </c>
      <c r="H492" s="2" t="s">
        <v>32</v>
      </c>
      <c r="I492" s="5">
        <v>1312.73</v>
      </c>
      <c r="J492" s="2">
        <v>3</v>
      </c>
      <c r="K492" s="4">
        <v>284.72000000000003</v>
      </c>
    </row>
    <row r="493" spans="1:11" x14ac:dyDescent="0.3">
      <c r="A493" s="3">
        <v>46023</v>
      </c>
      <c r="B493" s="10">
        <f>YEAR(Table1[[#This Row],[Order Date]])</f>
        <v>2026</v>
      </c>
      <c r="C493" s="10">
        <f>MONTH(Table1[[#This Row],[Order Date]])</f>
        <v>1</v>
      </c>
      <c r="D493" s="2" t="s">
        <v>106</v>
      </c>
      <c r="E493" s="2" t="s">
        <v>9</v>
      </c>
      <c r="F493" s="2" t="s">
        <v>28</v>
      </c>
      <c r="G493" s="1" t="s">
        <v>137</v>
      </c>
      <c r="H493" s="2" t="s">
        <v>35</v>
      </c>
      <c r="I493" s="5">
        <v>374.09</v>
      </c>
      <c r="J493" s="2">
        <v>3</v>
      </c>
      <c r="K493" s="4">
        <v>110.97</v>
      </c>
    </row>
    <row r="494" spans="1:11" x14ac:dyDescent="0.3">
      <c r="A494" s="3">
        <v>46023</v>
      </c>
      <c r="B494" s="10">
        <f>YEAR(Table1[[#This Row],[Order Date]])</f>
        <v>2026</v>
      </c>
      <c r="C494" s="10">
        <f>MONTH(Table1[[#This Row],[Order Date]])</f>
        <v>1</v>
      </c>
      <c r="D494" s="2" t="s">
        <v>92</v>
      </c>
      <c r="E494" s="2" t="s">
        <v>37</v>
      </c>
      <c r="F494" s="2" t="s">
        <v>19</v>
      </c>
      <c r="G494" s="1" t="s">
        <v>136</v>
      </c>
      <c r="H494" s="2" t="s">
        <v>32</v>
      </c>
      <c r="I494" s="5">
        <v>991.96</v>
      </c>
      <c r="J494" s="2">
        <v>3</v>
      </c>
      <c r="K494" s="4">
        <v>67.27</v>
      </c>
    </row>
    <row r="495" spans="1:11" x14ac:dyDescent="0.3">
      <c r="A495" s="3">
        <v>46024</v>
      </c>
      <c r="B495" s="10">
        <f>YEAR(Table1[[#This Row],[Order Date]])</f>
        <v>2026</v>
      </c>
      <c r="C495" s="10">
        <f>MONTH(Table1[[#This Row],[Order Date]])</f>
        <v>1</v>
      </c>
      <c r="D495" s="2" t="s">
        <v>82</v>
      </c>
      <c r="E495" s="2" t="s">
        <v>15</v>
      </c>
      <c r="F495" s="2" t="s">
        <v>10</v>
      </c>
      <c r="G495" s="1" t="s">
        <v>135</v>
      </c>
      <c r="H495" s="2" t="s">
        <v>49</v>
      </c>
      <c r="I495" s="5">
        <v>1442.17</v>
      </c>
      <c r="J495" s="2">
        <v>2</v>
      </c>
      <c r="K495" s="4">
        <v>146.63</v>
      </c>
    </row>
    <row r="496" spans="1:11" x14ac:dyDescent="0.3">
      <c r="A496" s="3">
        <v>46024</v>
      </c>
      <c r="B496" s="10">
        <f>YEAR(Table1[[#This Row],[Order Date]])</f>
        <v>2026</v>
      </c>
      <c r="C496" s="10">
        <f>MONTH(Table1[[#This Row],[Order Date]])</f>
        <v>1</v>
      </c>
      <c r="D496" s="2" t="s">
        <v>116</v>
      </c>
      <c r="E496" s="2" t="s">
        <v>25</v>
      </c>
      <c r="F496" s="2" t="s">
        <v>19</v>
      </c>
      <c r="G496" s="1" t="s">
        <v>136</v>
      </c>
      <c r="H496" s="2" t="s">
        <v>32</v>
      </c>
      <c r="I496" s="5">
        <v>1107.3</v>
      </c>
      <c r="J496" s="2">
        <v>1</v>
      </c>
      <c r="K496" s="4">
        <v>311.58999999999997</v>
      </c>
    </row>
    <row r="497" spans="1:11" x14ac:dyDescent="0.3">
      <c r="A497" s="3">
        <v>46024</v>
      </c>
      <c r="B497" s="10">
        <f>YEAR(Table1[[#This Row],[Order Date]])</f>
        <v>2026</v>
      </c>
      <c r="C497" s="10">
        <f>MONTH(Table1[[#This Row],[Order Date]])</f>
        <v>1</v>
      </c>
      <c r="D497" s="2" t="s">
        <v>70</v>
      </c>
      <c r="E497" s="2" t="s">
        <v>77</v>
      </c>
      <c r="F497" s="2" t="s">
        <v>10</v>
      </c>
      <c r="G497" s="1" t="s">
        <v>135</v>
      </c>
      <c r="H497" s="2" t="s">
        <v>49</v>
      </c>
      <c r="I497" s="5">
        <v>669.03</v>
      </c>
      <c r="J497" s="2">
        <v>3</v>
      </c>
      <c r="K497" s="4">
        <v>101.92</v>
      </c>
    </row>
    <row r="498" spans="1:11" x14ac:dyDescent="0.3">
      <c r="A498" s="3">
        <v>46024</v>
      </c>
      <c r="B498" s="10">
        <f>YEAR(Table1[[#This Row],[Order Date]])</f>
        <v>2026</v>
      </c>
      <c r="C498" s="10">
        <f>MONTH(Table1[[#This Row],[Order Date]])</f>
        <v>1</v>
      </c>
      <c r="D498" s="2" t="s">
        <v>129</v>
      </c>
      <c r="E498" s="2" t="s">
        <v>37</v>
      </c>
      <c r="F498" s="2" t="s">
        <v>28</v>
      </c>
      <c r="G498" s="1" t="s">
        <v>137</v>
      </c>
      <c r="H498" s="2" t="s">
        <v>58</v>
      </c>
      <c r="I498" s="5">
        <v>988.54</v>
      </c>
      <c r="J498" s="2">
        <v>1</v>
      </c>
      <c r="K498" s="4">
        <v>240.58</v>
      </c>
    </row>
    <row r="499" spans="1:11" x14ac:dyDescent="0.3">
      <c r="A499" s="3">
        <v>46025</v>
      </c>
      <c r="B499" s="10">
        <f>YEAR(Table1[[#This Row],[Order Date]])</f>
        <v>2026</v>
      </c>
      <c r="C499" s="10">
        <f>MONTH(Table1[[#This Row],[Order Date]])</f>
        <v>1</v>
      </c>
      <c r="D499" s="2" t="s">
        <v>83</v>
      </c>
      <c r="E499" s="2" t="s">
        <v>39</v>
      </c>
      <c r="F499" s="2" t="s">
        <v>19</v>
      </c>
      <c r="G499" s="1" t="s">
        <v>136</v>
      </c>
      <c r="H499" s="2" t="s">
        <v>40</v>
      </c>
      <c r="I499" s="5">
        <v>191.43</v>
      </c>
      <c r="J499" s="2">
        <v>5</v>
      </c>
      <c r="K499" s="4">
        <v>10.81</v>
      </c>
    </row>
    <row r="500" spans="1:11" x14ac:dyDescent="0.3">
      <c r="A500" s="3">
        <v>46026</v>
      </c>
      <c r="B500" s="10">
        <f>YEAR(Table1[[#This Row],[Order Date]])</f>
        <v>2026</v>
      </c>
      <c r="C500" s="10">
        <f>MONTH(Table1[[#This Row],[Order Date]])</f>
        <v>1</v>
      </c>
      <c r="D500" s="2" t="s">
        <v>87</v>
      </c>
      <c r="E500" s="2" t="s">
        <v>18</v>
      </c>
      <c r="F500" s="2" t="s">
        <v>10</v>
      </c>
      <c r="G500" s="1" t="s">
        <v>135</v>
      </c>
      <c r="H500" s="2" t="s">
        <v>49</v>
      </c>
      <c r="I500" s="5">
        <v>54.21</v>
      </c>
      <c r="J500" s="2">
        <v>3</v>
      </c>
      <c r="K500" s="4">
        <v>3.32</v>
      </c>
    </row>
    <row r="501" spans="1:11" x14ac:dyDescent="0.3">
      <c r="A501" s="3">
        <v>46027</v>
      </c>
      <c r="B501" s="10">
        <f>YEAR(Table1[[#This Row],[Order Date]])</f>
        <v>2026</v>
      </c>
      <c r="C501" s="10">
        <f>MONTH(Table1[[#This Row],[Order Date]])</f>
        <v>1</v>
      </c>
      <c r="D501" s="2" t="s">
        <v>85</v>
      </c>
      <c r="E501" s="2" t="s">
        <v>39</v>
      </c>
      <c r="F501" s="2" t="s">
        <v>10</v>
      </c>
      <c r="G501" s="1" t="s">
        <v>135</v>
      </c>
      <c r="H501" s="2" t="s">
        <v>11</v>
      </c>
      <c r="I501" s="5">
        <v>853.4</v>
      </c>
      <c r="J501" s="2">
        <v>3</v>
      </c>
      <c r="K501" s="4">
        <v>204.36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CF1D1-8728-467F-90B5-F083AD11BEC2}">
  <dimension ref="A1:B4"/>
  <sheetViews>
    <sheetView workbookViewId="0">
      <selection activeCell="I22" sqref="I22"/>
    </sheetView>
  </sheetViews>
  <sheetFormatPr defaultRowHeight="14.4" x14ac:dyDescent="0.3"/>
  <cols>
    <col min="1" max="1" width="12.44140625" bestFit="1" customWidth="1"/>
    <col min="2" max="2" width="21.5546875" bestFit="1" customWidth="1"/>
  </cols>
  <sheetData>
    <row r="1" spans="1:2" x14ac:dyDescent="0.3">
      <c r="A1" s="7" t="s">
        <v>139</v>
      </c>
      <c r="B1" t="s">
        <v>147</v>
      </c>
    </row>
    <row r="2" spans="1:2" x14ac:dyDescent="0.3">
      <c r="A2" s="11">
        <v>2025</v>
      </c>
      <c r="B2">
        <v>491</v>
      </c>
    </row>
    <row r="3" spans="1:2" x14ac:dyDescent="0.3">
      <c r="A3" s="11">
        <v>2026</v>
      </c>
      <c r="B3">
        <v>9</v>
      </c>
    </row>
    <row r="4" spans="1:2" x14ac:dyDescent="0.3">
      <c r="A4" s="11" t="s">
        <v>140</v>
      </c>
      <c r="B4">
        <v>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C6B3E-CE7A-474E-ABE2-D468C6C77355}">
  <dimension ref="A1"/>
  <sheetViews>
    <sheetView showGridLines="0" showRowColHeaders="0" tabSelected="1" zoomScale="90" zoomScaleNormal="90" workbookViewId="0">
      <selection activeCell="X32" sqref="X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DB95D-187F-4EB4-B7E0-E7A93F1D5ED2}">
  <dimension ref="A1:B501"/>
  <sheetViews>
    <sheetView topLeftCell="A2" workbookViewId="0">
      <selection activeCell="A2" sqref="A2:B501"/>
    </sheetView>
  </sheetViews>
  <sheetFormatPr defaultRowHeight="14.4" x14ac:dyDescent="0.3"/>
  <cols>
    <col min="1" max="1" width="10.33203125" customWidth="1"/>
    <col min="2" max="2" width="12.88671875" bestFit="1" customWidth="1"/>
  </cols>
  <sheetData>
    <row r="1" spans="1:2" x14ac:dyDescent="0.3">
      <c r="A1" s="16" t="s">
        <v>145</v>
      </c>
      <c r="B1" s="17" t="s">
        <v>146</v>
      </c>
    </row>
    <row r="2" spans="1:2" x14ac:dyDescent="0.3">
      <c r="A2" s="12">
        <v>2025</v>
      </c>
      <c r="B2" s="14" t="s">
        <v>68</v>
      </c>
    </row>
    <row r="3" spans="1:2" x14ac:dyDescent="0.3">
      <c r="A3" s="13">
        <v>2025</v>
      </c>
      <c r="B3" s="15" t="s">
        <v>96</v>
      </c>
    </row>
    <row r="4" spans="1:2" x14ac:dyDescent="0.3">
      <c r="A4" s="12">
        <v>2025</v>
      </c>
      <c r="B4" s="14" t="s">
        <v>126</v>
      </c>
    </row>
    <row r="5" spans="1:2" x14ac:dyDescent="0.3">
      <c r="A5" s="13">
        <v>2025</v>
      </c>
      <c r="B5" s="15" t="s">
        <v>41</v>
      </c>
    </row>
    <row r="6" spans="1:2" x14ac:dyDescent="0.3">
      <c r="A6" s="12">
        <v>2025</v>
      </c>
      <c r="B6" s="14" t="s">
        <v>122</v>
      </c>
    </row>
    <row r="7" spans="1:2" x14ac:dyDescent="0.3">
      <c r="A7" s="13">
        <v>2025</v>
      </c>
      <c r="B7" s="15" t="s">
        <v>14</v>
      </c>
    </row>
    <row r="8" spans="1:2" x14ac:dyDescent="0.3">
      <c r="A8" s="12">
        <v>2025</v>
      </c>
      <c r="B8" s="14" t="s">
        <v>43</v>
      </c>
    </row>
    <row r="9" spans="1:2" x14ac:dyDescent="0.3">
      <c r="A9" s="13">
        <v>2025</v>
      </c>
      <c r="B9" s="15" t="s">
        <v>93</v>
      </c>
    </row>
    <row r="10" spans="1:2" x14ac:dyDescent="0.3">
      <c r="A10" s="12">
        <v>2025</v>
      </c>
      <c r="B10" s="14" t="s">
        <v>59</v>
      </c>
    </row>
    <row r="11" spans="1:2" x14ac:dyDescent="0.3">
      <c r="A11" s="13">
        <v>2025</v>
      </c>
      <c r="B11" s="15" t="s">
        <v>54</v>
      </c>
    </row>
    <row r="12" spans="1:2" x14ac:dyDescent="0.3">
      <c r="A12" s="12">
        <v>2025</v>
      </c>
      <c r="B12" s="14" t="s">
        <v>124</v>
      </c>
    </row>
    <row r="13" spans="1:2" x14ac:dyDescent="0.3">
      <c r="A13" s="13">
        <v>2025</v>
      </c>
      <c r="B13" s="15" t="s">
        <v>61</v>
      </c>
    </row>
    <row r="14" spans="1:2" x14ac:dyDescent="0.3">
      <c r="A14" s="12">
        <v>2025</v>
      </c>
      <c r="B14" s="14" t="s">
        <v>108</v>
      </c>
    </row>
    <row r="15" spans="1:2" x14ac:dyDescent="0.3">
      <c r="A15" s="13">
        <v>2025</v>
      </c>
      <c r="B15" s="15" t="s">
        <v>95</v>
      </c>
    </row>
    <row r="16" spans="1:2" x14ac:dyDescent="0.3">
      <c r="A16" s="12">
        <v>2025</v>
      </c>
      <c r="B16" s="14" t="s">
        <v>82</v>
      </c>
    </row>
    <row r="17" spans="1:2" x14ac:dyDescent="0.3">
      <c r="A17" s="13">
        <v>2025</v>
      </c>
      <c r="B17" s="15" t="s">
        <v>114</v>
      </c>
    </row>
    <row r="18" spans="1:2" x14ac:dyDescent="0.3">
      <c r="A18" s="12">
        <v>2025</v>
      </c>
      <c r="B18" s="14" t="s">
        <v>47</v>
      </c>
    </row>
    <row r="19" spans="1:2" x14ac:dyDescent="0.3">
      <c r="A19" s="13">
        <v>2025</v>
      </c>
      <c r="B19" s="15" t="s">
        <v>112</v>
      </c>
    </row>
    <row r="20" spans="1:2" x14ac:dyDescent="0.3">
      <c r="A20" s="12">
        <v>2025</v>
      </c>
      <c r="B20" s="14" t="s">
        <v>109</v>
      </c>
    </row>
    <row r="21" spans="1:2" x14ac:dyDescent="0.3">
      <c r="A21" s="13">
        <v>2025</v>
      </c>
      <c r="B21" s="15" t="s">
        <v>48</v>
      </c>
    </row>
    <row r="22" spans="1:2" x14ac:dyDescent="0.3">
      <c r="A22" s="12">
        <v>2025</v>
      </c>
      <c r="B22" s="14" t="s">
        <v>12</v>
      </c>
    </row>
    <row r="23" spans="1:2" x14ac:dyDescent="0.3">
      <c r="A23" s="13">
        <v>2025</v>
      </c>
      <c r="B23" s="15" t="s">
        <v>21</v>
      </c>
    </row>
    <row r="24" spans="1:2" x14ac:dyDescent="0.3">
      <c r="A24" s="12">
        <v>2025</v>
      </c>
      <c r="B24" s="14" t="s">
        <v>54</v>
      </c>
    </row>
    <row r="25" spans="1:2" x14ac:dyDescent="0.3">
      <c r="A25" s="13">
        <v>2025</v>
      </c>
      <c r="B25" s="15" t="s">
        <v>107</v>
      </c>
    </row>
    <row r="26" spans="1:2" x14ac:dyDescent="0.3">
      <c r="A26" s="12">
        <v>2025</v>
      </c>
      <c r="B26" s="14" t="s">
        <v>87</v>
      </c>
    </row>
    <row r="27" spans="1:2" x14ac:dyDescent="0.3">
      <c r="A27" s="13">
        <v>2025</v>
      </c>
      <c r="B27" s="15" t="s">
        <v>56</v>
      </c>
    </row>
    <row r="28" spans="1:2" x14ac:dyDescent="0.3">
      <c r="A28" s="12">
        <v>2025</v>
      </c>
      <c r="B28" s="14" t="s">
        <v>101</v>
      </c>
    </row>
    <row r="29" spans="1:2" x14ac:dyDescent="0.3">
      <c r="A29" s="13">
        <v>2025</v>
      </c>
      <c r="B29" s="15" t="s">
        <v>89</v>
      </c>
    </row>
    <row r="30" spans="1:2" x14ac:dyDescent="0.3">
      <c r="A30" s="12">
        <v>2025</v>
      </c>
      <c r="B30" s="14" t="s">
        <v>99</v>
      </c>
    </row>
    <row r="31" spans="1:2" x14ac:dyDescent="0.3">
      <c r="A31" s="13">
        <v>2025</v>
      </c>
      <c r="B31" s="15" t="s">
        <v>52</v>
      </c>
    </row>
    <row r="32" spans="1:2" x14ac:dyDescent="0.3">
      <c r="A32" s="12">
        <v>2025</v>
      </c>
      <c r="B32" s="14" t="s">
        <v>101</v>
      </c>
    </row>
    <row r="33" spans="1:2" x14ac:dyDescent="0.3">
      <c r="A33" s="13">
        <v>2025</v>
      </c>
      <c r="B33" s="15" t="s">
        <v>36</v>
      </c>
    </row>
    <row r="34" spans="1:2" x14ac:dyDescent="0.3">
      <c r="A34" s="12">
        <v>2025</v>
      </c>
      <c r="B34" s="14" t="s">
        <v>44</v>
      </c>
    </row>
    <row r="35" spans="1:2" x14ac:dyDescent="0.3">
      <c r="A35" s="13">
        <v>2025</v>
      </c>
      <c r="B35" s="15" t="s">
        <v>86</v>
      </c>
    </row>
    <row r="36" spans="1:2" x14ac:dyDescent="0.3">
      <c r="A36" s="12">
        <v>2025</v>
      </c>
      <c r="B36" s="14" t="s">
        <v>66</v>
      </c>
    </row>
    <row r="37" spans="1:2" x14ac:dyDescent="0.3">
      <c r="A37" s="13">
        <v>2025</v>
      </c>
      <c r="B37" s="15" t="s">
        <v>60</v>
      </c>
    </row>
    <row r="38" spans="1:2" x14ac:dyDescent="0.3">
      <c r="A38" s="12">
        <v>2025</v>
      </c>
      <c r="B38" s="14" t="s">
        <v>84</v>
      </c>
    </row>
    <row r="39" spans="1:2" x14ac:dyDescent="0.3">
      <c r="A39" s="13">
        <v>2025</v>
      </c>
      <c r="B39" s="15" t="s">
        <v>71</v>
      </c>
    </row>
    <row r="40" spans="1:2" x14ac:dyDescent="0.3">
      <c r="A40" s="12">
        <v>2025</v>
      </c>
      <c r="B40" s="14" t="s">
        <v>54</v>
      </c>
    </row>
    <row r="41" spans="1:2" x14ac:dyDescent="0.3">
      <c r="A41" s="13">
        <v>2025</v>
      </c>
      <c r="B41" s="15" t="s">
        <v>79</v>
      </c>
    </row>
    <row r="42" spans="1:2" x14ac:dyDescent="0.3">
      <c r="A42" s="12">
        <v>2025</v>
      </c>
      <c r="B42" s="14" t="s">
        <v>70</v>
      </c>
    </row>
    <row r="43" spans="1:2" x14ac:dyDescent="0.3">
      <c r="A43" s="13">
        <v>2025</v>
      </c>
      <c r="B43" s="15" t="s">
        <v>36</v>
      </c>
    </row>
    <row r="44" spans="1:2" x14ac:dyDescent="0.3">
      <c r="A44" s="12">
        <v>2025</v>
      </c>
      <c r="B44" s="14" t="s">
        <v>92</v>
      </c>
    </row>
    <row r="45" spans="1:2" x14ac:dyDescent="0.3">
      <c r="A45" s="13">
        <v>2025</v>
      </c>
      <c r="B45" s="15" t="s">
        <v>94</v>
      </c>
    </row>
    <row r="46" spans="1:2" x14ac:dyDescent="0.3">
      <c r="A46" s="12">
        <v>2025</v>
      </c>
      <c r="B46" s="14" t="s">
        <v>61</v>
      </c>
    </row>
    <row r="47" spans="1:2" x14ac:dyDescent="0.3">
      <c r="A47" s="13">
        <v>2025</v>
      </c>
      <c r="B47" s="15" t="s">
        <v>85</v>
      </c>
    </row>
    <row r="48" spans="1:2" x14ac:dyDescent="0.3">
      <c r="A48" s="12">
        <v>2025</v>
      </c>
      <c r="B48" s="14" t="s">
        <v>84</v>
      </c>
    </row>
    <row r="49" spans="1:2" x14ac:dyDescent="0.3">
      <c r="A49" s="13">
        <v>2025</v>
      </c>
      <c r="B49" s="15" t="s">
        <v>122</v>
      </c>
    </row>
    <row r="50" spans="1:2" x14ac:dyDescent="0.3">
      <c r="A50" s="12">
        <v>2025</v>
      </c>
      <c r="B50" s="14" t="s">
        <v>44</v>
      </c>
    </row>
    <row r="51" spans="1:2" x14ac:dyDescent="0.3">
      <c r="A51" s="13">
        <v>2025</v>
      </c>
      <c r="B51" s="15" t="s">
        <v>123</v>
      </c>
    </row>
    <row r="52" spans="1:2" x14ac:dyDescent="0.3">
      <c r="A52" s="12">
        <v>2025</v>
      </c>
      <c r="B52" s="14" t="s">
        <v>38</v>
      </c>
    </row>
    <row r="53" spans="1:2" x14ac:dyDescent="0.3">
      <c r="A53" s="13">
        <v>2025</v>
      </c>
      <c r="B53" s="15" t="s">
        <v>51</v>
      </c>
    </row>
    <row r="54" spans="1:2" x14ac:dyDescent="0.3">
      <c r="A54" s="12">
        <v>2025</v>
      </c>
      <c r="B54" s="14" t="s">
        <v>98</v>
      </c>
    </row>
    <row r="55" spans="1:2" x14ac:dyDescent="0.3">
      <c r="A55" s="13">
        <v>2025</v>
      </c>
      <c r="B55" s="15" t="s">
        <v>107</v>
      </c>
    </row>
    <row r="56" spans="1:2" x14ac:dyDescent="0.3">
      <c r="A56" s="12">
        <v>2025</v>
      </c>
      <c r="B56" s="14" t="s">
        <v>75</v>
      </c>
    </row>
    <row r="57" spans="1:2" x14ac:dyDescent="0.3">
      <c r="A57" s="13">
        <v>2025</v>
      </c>
      <c r="B57" s="15" t="s">
        <v>33</v>
      </c>
    </row>
    <row r="58" spans="1:2" x14ac:dyDescent="0.3">
      <c r="A58" s="12">
        <v>2025</v>
      </c>
      <c r="B58" s="14" t="s">
        <v>17</v>
      </c>
    </row>
    <row r="59" spans="1:2" x14ac:dyDescent="0.3">
      <c r="A59" s="13">
        <v>2025</v>
      </c>
      <c r="B59" s="15" t="s">
        <v>52</v>
      </c>
    </row>
    <row r="60" spans="1:2" x14ac:dyDescent="0.3">
      <c r="A60" s="12">
        <v>2025</v>
      </c>
      <c r="B60" s="14" t="s">
        <v>21</v>
      </c>
    </row>
    <row r="61" spans="1:2" x14ac:dyDescent="0.3">
      <c r="A61" s="13">
        <v>2025</v>
      </c>
      <c r="B61" s="15" t="s">
        <v>88</v>
      </c>
    </row>
    <row r="62" spans="1:2" x14ac:dyDescent="0.3">
      <c r="A62" s="12">
        <v>2025</v>
      </c>
      <c r="B62" s="14" t="s">
        <v>46</v>
      </c>
    </row>
    <row r="63" spans="1:2" x14ac:dyDescent="0.3">
      <c r="A63" s="13">
        <v>2025</v>
      </c>
      <c r="B63" s="15" t="s">
        <v>41</v>
      </c>
    </row>
    <row r="64" spans="1:2" x14ac:dyDescent="0.3">
      <c r="A64" s="12">
        <v>2025</v>
      </c>
      <c r="B64" s="14" t="s">
        <v>50</v>
      </c>
    </row>
    <row r="65" spans="1:2" x14ac:dyDescent="0.3">
      <c r="A65" s="13">
        <v>2025</v>
      </c>
      <c r="B65" s="15" t="s">
        <v>71</v>
      </c>
    </row>
    <row r="66" spans="1:2" x14ac:dyDescent="0.3">
      <c r="A66" s="12">
        <v>2025</v>
      </c>
      <c r="B66" s="14" t="s">
        <v>26</v>
      </c>
    </row>
    <row r="67" spans="1:2" x14ac:dyDescent="0.3">
      <c r="A67" s="13">
        <v>2025</v>
      </c>
      <c r="B67" s="15" t="s">
        <v>14</v>
      </c>
    </row>
    <row r="68" spans="1:2" x14ac:dyDescent="0.3">
      <c r="A68" s="12">
        <v>2025</v>
      </c>
      <c r="B68" s="14" t="s">
        <v>59</v>
      </c>
    </row>
    <row r="69" spans="1:2" x14ac:dyDescent="0.3">
      <c r="A69" s="13">
        <v>2025</v>
      </c>
      <c r="B69" s="15" t="s">
        <v>12</v>
      </c>
    </row>
    <row r="70" spans="1:2" x14ac:dyDescent="0.3">
      <c r="A70" s="12">
        <v>2025</v>
      </c>
      <c r="B70" s="14" t="s">
        <v>110</v>
      </c>
    </row>
    <row r="71" spans="1:2" x14ac:dyDescent="0.3">
      <c r="A71" s="13">
        <v>2025</v>
      </c>
      <c r="B71" s="15" t="s">
        <v>81</v>
      </c>
    </row>
    <row r="72" spans="1:2" x14ac:dyDescent="0.3">
      <c r="A72" s="12">
        <v>2025</v>
      </c>
      <c r="B72" s="14" t="s">
        <v>87</v>
      </c>
    </row>
    <row r="73" spans="1:2" x14ac:dyDescent="0.3">
      <c r="A73" s="13">
        <v>2025</v>
      </c>
      <c r="B73" s="15" t="s">
        <v>132</v>
      </c>
    </row>
    <row r="74" spans="1:2" x14ac:dyDescent="0.3">
      <c r="A74" s="12">
        <v>2025</v>
      </c>
      <c r="B74" s="14" t="s">
        <v>67</v>
      </c>
    </row>
    <row r="75" spans="1:2" x14ac:dyDescent="0.3">
      <c r="A75" s="13">
        <v>2025</v>
      </c>
      <c r="B75" s="15" t="s">
        <v>106</v>
      </c>
    </row>
    <row r="76" spans="1:2" x14ac:dyDescent="0.3">
      <c r="A76" s="12">
        <v>2025</v>
      </c>
      <c r="B76" s="14" t="s">
        <v>123</v>
      </c>
    </row>
    <row r="77" spans="1:2" x14ac:dyDescent="0.3">
      <c r="A77" s="13">
        <v>2025</v>
      </c>
      <c r="B77" s="15" t="s">
        <v>93</v>
      </c>
    </row>
    <row r="78" spans="1:2" x14ac:dyDescent="0.3">
      <c r="A78" s="12">
        <v>2025</v>
      </c>
      <c r="B78" s="14" t="s">
        <v>27</v>
      </c>
    </row>
    <row r="79" spans="1:2" x14ac:dyDescent="0.3">
      <c r="A79" s="13">
        <v>2025</v>
      </c>
      <c r="B79" s="15" t="s">
        <v>122</v>
      </c>
    </row>
    <row r="80" spans="1:2" x14ac:dyDescent="0.3">
      <c r="A80" s="12">
        <v>2025</v>
      </c>
      <c r="B80" s="14" t="s">
        <v>64</v>
      </c>
    </row>
    <row r="81" spans="1:2" x14ac:dyDescent="0.3">
      <c r="A81" s="13">
        <v>2025</v>
      </c>
      <c r="B81" s="15" t="s">
        <v>87</v>
      </c>
    </row>
    <row r="82" spans="1:2" x14ac:dyDescent="0.3">
      <c r="A82" s="12">
        <v>2025</v>
      </c>
      <c r="B82" s="14" t="s">
        <v>46</v>
      </c>
    </row>
    <row r="83" spans="1:2" x14ac:dyDescent="0.3">
      <c r="A83" s="13">
        <v>2025</v>
      </c>
      <c r="B83" s="15" t="s">
        <v>104</v>
      </c>
    </row>
    <row r="84" spans="1:2" x14ac:dyDescent="0.3">
      <c r="A84" s="12">
        <v>2025</v>
      </c>
      <c r="B84" s="14" t="s">
        <v>109</v>
      </c>
    </row>
    <row r="85" spans="1:2" x14ac:dyDescent="0.3">
      <c r="A85" s="13">
        <v>2025</v>
      </c>
      <c r="B85" s="15" t="s">
        <v>57</v>
      </c>
    </row>
    <row r="86" spans="1:2" x14ac:dyDescent="0.3">
      <c r="A86" s="12">
        <v>2025</v>
      </c>
      <c r="B86" s="14" t="s">
        <v>106</v>
      </c>
    </row>
    <row r="87" spans="1:2" x14ac:dyDescent="0.3">
      <c r="A87" s="13">
        <v>2025</v>
      </c>
      <c r="B87" s="15" t="s">
        <v>76</v>
      </c>
    </row>
    <row r="88" spans="1:2" x14ac:dyDescent="0.3">
      <c r="A88" s="12">
        <v>2025</v>
      </c>
      <c r="B88" s="14" t="s">
        <v>102</v>
      </c>
    </row>
    <row r="89" spans="1:2" x14ac:dyDescent="0.3">
      <c r="A89" s="13">
        <v>2025</v>
      </c>
      <c r="B89" s="15" t="s">
        <v>74</v>
      </c>
    </row>
    <row r="90" spans="1:2" x14ac:dyDescent="0.3">
      <c r="A90" s="12">
        <v>2025</v>
      </c>
      <c r="B90" s="14" t="s">
        <v>52</v>
      </c>
    </row>
    <row r="91" spans="1:2" x14ac:dyDescent="0.3">
      <c r="A91" s="13">
        <v>2025</v>
      </c>
      <c r="B91" s="15" t="s">
        <v>68</v>
      </c>
    </row>
    <row r="92" spans="1:2" x14ac:dyDescent="0.3">
      <c r="A92" s="12">
        <v>2025</v>
      </c>
      <c r="B92" s="14" t="s">
        <v>38</v>
      </c>
    </row>
    <row r="93" spans="1:2" x14ac:dyDescent="0.3">
      <c r="A93" s="13">
        <v>2025</v>
      </c>
      <c r="B93" s="15" t="s">
        <v>14</v>
      </c>
    </row>
    <row r="94" spans="1:2" x14ac:dyDescent="0.3">
      <c r="A94" s="12">
        <v>2025</v>
      </c>
      <c r="B94" s="14" t="s">
        <v>75</v>
      </c>
    </row>
    <row r="95" spans="1:2" x14ac:dyDescent="0.3">
      <c r="A95" s="13">
        <v>2025</v>
      </c>
      <c r="B95" s="15" t="s">
        <v>8</v>
      </c>
    </row>
    <row r="96" spans="1:2" x14ac:dyDescent="0.3">
      <c r="A96" s="12">
        <v>2025</v>
      </c>
      <c r="B96" s="14" t="s">
        <v>21</v>
      </c>
    </row>
    <row r="97" spans="1:2" x14ac:dyDescent="0.3">
      <c r="A97" s="13">
        <v>2025</v>
      </c>
      <c r="B97" s="15" t="s">
        <v>91</v>
      </c>
    </row>
    <row r="98" spans="1:2" x14ac:dyDescent="0.3">
      <c r="A98" s="12">
        <v>2025</v>
      </c>
      <c r="B98" s="14" t="s">
        <v>56</v>
      </c>
    </row>
    <row r="99" spans="1:2" x14ac:dyDescent="0.3">
      <c r="A99" s="13">
        <v>2025</v>
      </c>
      <c r="B99" s="15" t="s">
        <v>103</v>
      </c>
    </row>
    <row r="100" spans="1:2" x14ac:dyDescent="0.3">
      <c r="A100" s="12">
        <v>2025</v>
      </c>
      <c r="B100" s="14" t="s">
        <v>44</v>
      </c>
    </row>
    <row r="101" spans="1:2" x14ac:dyDescent="0.3">
      <c r="A101" s="13">
        <v>2025</v>
      </c>
      <c r="B101" s="15" t="s">
        <v>90</v>
      </c>
    </row>
    <row r="102" spans="1:2" x14ac:dyDescent="0.3">
      <c r="A102" s="12">
        <v>2025</v>
      </c>
      <c r="B102" s="14" t="s">
        <v>70</v>
      </c>
    </row>
    <row r="103" spans="1:2" x14ac:dyDescent="0.3">
      <c r="A103" s="13">
        <v>2025</v>
      </c>
      <c r="B103" s="15" t="s">
        <v>87</v>
      </c>
    </row>
    <row r="104" spans="1:2" x14ac:dyDescent="0.3">
      <c r="A104" s="12">
        <v>2025</v>
      </c>
      <c r="B104" s="14" t="s">
        <v>50</v>
      </c>
    </row>
    <row r="105" spans="1:2" x14ac:dyDescent="0.3">
      <c r="A105" s="13">
        <v>2025</v>
      </c>
      <c r="B105" s="15" t="s">
        <v>26</v>
      </c>
    </row>
    <row r="106" spans="1:2" x14ac:dyDescent="0.3">
      <c r="A106" s="12">
        <v>2025</v>
      </c>
      <c r="B106" s="14" t="s">
        <v>44</v>
      </c>
    </row>
    <row r="107" spans="1:2" x14ac:dyDescent="0.3">
      <c r="A107" s="13">
        <v>2025</v>
      </c>
      <c r="B107" s="15" t="s">
        <v>132</v>
      </c>
    </row>
    <row r="108" spans="1:2" x14ac:dyDescent="0.3">
      <c r="A108" s="12">
        <v>2025</v>
      </c>
      <c r="B108" s="14" t="s">
        <v>81</v>
      </c>
    </row>
    <row r="109" spans="1:2" x14ac:dyDescent="0.3">
      <c r="A109" s="13">
        <v>2025</v>
      </c>
      <c r="B109" s="15" t="s">
        <v>122</v>
      </c>
    </row>
    <row r="110" spans="1:2" x14ac:dyDescent="0.3">
      <c r="A110" s="12">
        <v>2025</v>
      </c>
      <c r="B110" s="14" t="s">
        <v>71</v>
      </c>
    </row>
    <row r="111" spans="1:2" x14ac:dyDescent="0.3">
      <c r="A111" s="13">
        <v>2025</v>
      </c>
      <c r="B111" s="15" t="s">
        <v>44</v>
      </c>
    </row>
    <row r="112" spans="1:2" x14ac:dyDescent="0.3">
      <c r="A112" s="12">
        <v>2025</v>
      </c>
      <c r="B112" s="14" t="s">
        <v>131</v>
      </c>
    </row>
    <row r="113" spans="1:2" x14ac:dyDescent="0.3">
      <c r="A113" s="13">
        <v>2025</v>
      </c>
      <c r="B113" s="15" t="s">
        <v>70</v>
      </c>
    </row>
    <row r="114" spans="1:2" x14ac:dyDescent="0.3">
      <c r="A114" s="12">
        <v>2025</v>
      </c>
      <c r="B114" s="14" t="s">
        <v>47</v>
      </c>
    </row>
    <row r="115" spans="1:2" x14ac:dyDescent="0.3">
      <c r="A115" s="13">
        <v>2025</v>
      </c>
      <c r="B115" s="15" t="s">
        <v>94</v>
      </c>
    </row>
    <row r="116" spans="1:2" x14ac:dyDescent="0.3">
      <c r="A116" s="12">
        <v>2025</v>
      </c>
      <c r="B116" s="14" t="s">
        <v>115</v>
      </c>
    </row>
    <row r="117" spans="1:2" x14ac:dyDescent="0.3">
      <c r="A117" s="13">
        <v>2025</v>
      </c>
      <c r="B117" s="15" t="s">
        <v>99</v>
      </c>
    </row>
    <row r="118" spans="1:2" x14ac:dyDescent="0.3">
      <c r="A118" s="12">
        <v>2025</v>
      </c>
      <c r="B118" s="14" t="s">
        <v>78</v>
      </c>
    </row>
    <row r="119" spans="1:2" x14ac:dyDescent="0.3">
      <c r="A119" s="13">
        <v>2025</v>
      </c>
      <c r="B119" s="15" t="s">
        <v>115</v>
      </c>
    </row>
    <row r="120" spans="1:2" x14ac:dyDescent="0.3">
      <c r="A120" s="12">
        <v>2025</v>
      </c>
      <c r="B120" s="14" t="s">
        <v>66</v>
      </c>
    </row>
    <row r="121" spans="1:2" x14ac:dyDescent="0.3">
      <c r="A121" s="13">
        <v>2025</v>
      </c>
      <c r="B121" s="15" t="s">
        <v>43</v>
      </c>
    </row>
    <row r="122" spans="1:2" x14ac:dyDescent="0.3">
      <c r="A122" s="12">
        <v>2025</v>
      </c>
      <c r="B122" s="14" t="s">
        <v>115</v>
      </c>
    </row>
    <row r="123" spans="1:2" x14ac:dyDescent="0.3">
      <c r="A123" s="13">
        <v>2025</v>
      </c>
      <c r="B123" s="15" t="s">
        <v>126</v>
      </c>
    </row>
    <row r="124" spans="1:2" x14ac:dyDescent="0.3">
      <c r="A124" s="12">
        <v>2025</v>
      </c>
      <c r="B124" s="14" t="s">
        <v>90</v>
      </c>
    </row>
    <row r="125" spans="1:2" x14ac:dyDescent="0.3">
      <c r="A125" s="13">
        <v>2025</v>
      </c>
      <c r="B125" s="15" t="s">
        <v>89</v>
      </c>
    </row>
    <row r="126" spans="1:2" x14ac:dyDescent="0.3">
      <c r="A126" s="12">
        <v>2025</v>
      </c>
      <c r="B126" s="14" t="s">
        <v>68</v>
      </c>
    </row>
    <row r="127" spans="1:2" x14ac:dyDescent="0.3">
      <c r="A127" s="13">
        <v>2025</v>
      </c>
      <c r="B127" s="15" t="s">
        <v>115</v>
      </c>
    </row>
    <row r="128" spans="1:2" x14ac:dyDescent="0.3">
      <c r="A128" s="12">
        <v>2025</v>
      </c>
      <c r="B128" s="14" t="s">
        <v>93</v>
      </c>
    </row>
    <row r="129" spans="1:2" x14ac:dyDescent="0.3">
      <c r="A129" s="13">
        <v>2025</v>
      </c>
      <c r="B129" s="15" t="s">
        <v>94</v>
      </c>
    </row>
    <row r="130" spans="1:2" x14ac:dyDescent="0.3">
      <c r="A130" s="12">
        <v>2025</v>
      </c>
      <c r="B130" s="14" t="s">
        <v>27</v>
      </c>
    </row>
    <row r="131" spans="1:2" x14ac:dyDescent="0.3">
      <c r="A131" s="13">
        <v>2025</v>
      </c>
      <c r="B131" s="15" t="s">
        <v>99</v>
      </c>
    </row>
    <row r="132" spans="1:2" x14ac:dyDescent="0.3">
      <c r="A132" s="12">
        <v>2025</v>
      </c>
      <c r="B132" s="14" t="s">
        <v>109</v>
      </c>
    </row>
    <row r="133" spans="1:2" x14ac:dyDescent="0.3">
      <c r="A133" s="13">
        <v>2025</v>
      </c>
      <c r="B133" s="15" t="s">
        <v>54</v>
      </c>
    </row>
    <row r="134" spans="1:2" x14ac:dyDescent="0.3">
      <c r="A134" s="12">
        <v>2025</v>
      </c>
      <c r="B134" s="14" t="s">
        <v>59</v>
      </c>
    </row>
    <row r="135" spans="1:2" x14ac:dyDescent="0.3">
      <c r="A135" s="13">
        <v>2025</v>
      </c>
      <c r="B135" s="15" t="s">
        <v>14</v>
      </c>
    </row>
    <row r="136" spans="1:2" x14ac:dyDescent="0.3">
      <c r="A136" s="12">
        <v>2025</v>
      </c>
      <c r="B136" s="14" t="s">
        <v>48</v>
      </c>
    </row>
    <row r="137" spans="1:2" x14ac:dyDescent="0.3">
      <c r="A137" s="13">
        <v>2025</v>
      </c>
      <c r="B137" s="15" t="s">
        <v>51</v>
      </c>
    </row>
    <row r="138" spans="1:2" x14ac:dyDescent="0.3">
      <c r="A138" s="12">
        <v>2025</v>
      </c>
      <c r="B138" s="14" t="s">
        <v>62</v>
      </c>
    </row>
    <row r="139" spans="1:2" x14ac:dyDescent="0.3">
      <c r="A139" s="13">
        <v>2025</v>
      </c>
      <c r="B139" s="15" t="s">
        <v>63</v>
      </c>
    </row>
    <row r="140" spans="1:2" x14ac:dyDescent="0.3">
      <c r="A140" s="12">
        <v>2025</v>
      </c>
      <c r="B140" s="14" t="s">
        <v>84</v>
      </c>
    </row>
    <row r="141" spans="1:2" x14ac:dyDescent="0.3">
      <c r="A141" s="13">
        <v>2025</v>
      </c>
      <c r="B141" s="15" t="s">
        <v>109</v>
      </c>
    </row>
    <row r="142" spans="1:2" x14ac:dyDescent="0.3">
      <c r="A142" s="12">
        <v>2025</v>
      </c>
      <c r="B142" s="14" t="s">
        <v>66</v>
      </c>
    </row>
    <row r="143" spans="1:2" x14ac:dyDescent="0.3">
      <c r="A143" s="13">
        <v>2025</v>
      </c>
      <c r="B143" s="15" t="s">
        <v>104</v>
      </c>
    </row>
    <row r="144" spans="1:2" x14ac:dyDescent="0.3">
      <c r="A144" s="12">
        <v>2025</v>
      </c>
      <c r="B144" s="14" t="s">
        <v>24</v>
      </c>
    </row>
    <row r="145" spans="1:2" x14ac:dyDescent="0.3">
      <c r="A145" s="13">
        <v>2025</v>
      </c>
      <c r="B145" s="15" t="s">
        <v>79</v>
      </c>
    </row>
    <row r="146" spans="1:2" x14ac:dyDescent="0.3">
      <c r="A146" s="12">
        <v>2025</v>
      </c>
      <c r="B146" s="14" t="s">
        <v>104</v>
      </c>
    </row>
    <row r="147" spans="1:2" x14ac:dyDescent="0.3">
      <c r="A147" s="13">
        <v>2025</v>
      </c>
      <c r="B147" s="15" t="s">
        <v>30</v>
      </c>
    </row>
    <row r="148" spans="1:2" x14ac:dyDescent="0.3">
      <c r="A148" s="12">
        <v>2025</v>
      </c>
      <c r="B148" s="14" t="s">
        <v>60</v>
      </c>
    </row>
    <row r="149" spans="1:2" x14ac:dyDescent="0.3">
      <c r="A149" s="13">
        <v>2025</v>
      </c>
      <c r="B149" s="15" t="s">
        <v>21</v>
      </c>
    </row>
    <row r="150" spans="1:2" x14ac:dyDescent="0.3">
      <c r="A150" s="12">
        <v>2025</v>
      </c>
      <c r="B150" s="14" t="s">
        <v>85</v>
      </c>
    </row>
    <row r="151" spans="1:2" x14ac:dyDescent="0.3">
      <c r="A151" s="13">
        <v>2025</v>
      </c>
      <c r="B151" s="15" t="s">
        <v>88</v>
      </c>
    </row>
    <row r="152" spans="1:2" x14ac:dyDescent="0.3">
      <c r="A152" s="12">
        <v>2025</v>
      </c>
      <c r="B152" s="14" t="s">
        <v>78</v>
      </c>
    </row>
    <row r="153" spans="1:2" x14ac:dyDescent="0.3">
      <c r="A153" s="13">
        <v>2025</v>
      </c>
      <c r="B153" s="15" t="s">
        <v>27</v>
      </c>
    </row>
    <row r="154" spans="1:2" x14ac:dyDescent="0.3">
      <c r="A154" s="12">
        <v>2025</v>
      </c>
      <c r="B154" s="14" t="s">
        <v>83</v>
      </c>
    </row>
    <row r="155" spans="1:2" x14ac:dyDescent="0.3">
      <c r="A155" s="13">
        <v>2025</v>
      </c>
      <c r="B155" s="15" t="s">
        <v>61</v>
      </c>
    </row>
    <row r="156" spans="1:2" x14ac:dyDescent="0.3">
      <c r="A156" s="12">
        <v>2025</v>
      </c>
      <c r="B156" s="14" t="s">
        <v>62</v>
      </c>
    </row>
    <row r="157" spans="1:2" x14ac:dyDescent="0.3">
      <c r="A157" s="13">
        <v>2025</v>
      </c>
      <c r="B157" s="15" t="s">
        <v>93</v>
      </c>
    </row>
    <row r="158" spans="1:2" x14ac:dyDescent="0.3">
      <c r="A158" s="12">
        <v>2025</v>
      </c>
      <c r="B158" s="14" t="s">
        <v>126</v>
      </c>
    </row>
    <row r="159" spans="1:2" x14ac:dyDescent="0.3">
      <c r="A159" s="13">
        <v>2025</v>
      </c>
      <c r="B159" s="15" t="s">
        <v>104</v>
      </c>
    </row>
    <row r="160" spans="1:2" x14ac:dyDescent="0.3">
      <c r="A160" s="12">
        <v>2025</v>
      </c>
      <c r="B160" s="14" t="s">
        <v>53</v>
      </c>
    </row>
    <row r="161" spans="1:2" x14ac:dyDescent="0.3">
      <c r="A161" s="13">
        <v>2025</v>
      </c>
      <c r="B161" s="15" t="s">
        <v>118</v>
      </c>
    </row>
    <row r="162" spans="1:2" x14ac:dyDescent="0.3">
      <c r="A162" s="12">
        <v>2025</v>
      </c>
      <c r="B162" s="14" t="s">
        <v>117</v>
      </c>
    </row>
    <row r="163" spans="1:2" x14ac:dyDescent="0.3">
      <c r="A163" s="13">
        <v>2025</v>
      </c>
      <c r="B163" s="15" t="s">
        <v>67</v>
      </c>
    </row>
    <row r="164" spans="1:2" x14ac:dyDescent="0.3">
      <c r="A164" s="12">
        <v>2025</v>
      </c>
      <c r="B164" s="14" t="s">
        <v>82</v>
      </c>
    </row>
    <row r="165" spans="1:2" x14ac:dyDescent="0.3">
      <c r="A165" s="13">
        <v>2025</v>
      </c>
      <c r="B165" s="15" t="s">
        <v>57</v>
      </c>
    </row>
    <row r="166" spans="1:2" x14ac:dyDescent="0.3">
      <c r="A166" s="12">
        <v>2025</v>
      </c>
      <c r="B166" s="14" t="s">
        <v>56</v>
      </c>
    </row>
    <row r="167" spans="1:2" x14ac:dyDescent="0.3">
      <c r="A167" s="13">
        <v>2025</v>
      </c>
      <c r="B167" s="15" t="s">
        <v>125</v>
      </c>
    </row>
    <row r="168" spans="1:2" x14ac:dyDescent="0.3">
      <c r="A168" s="12">
        <v>2025</v>
      </c>
      <c r="B168" s="14" t="s">
        <v>30</v>
      </c>
    </row>
    <row r="169" spans="1:2" x14ac:dyDescent="0.3">
      <c r="A169" s="13">
        <v>2025</v>
      </c>
      <c r="B169" s="15" t="s">
        <v>44</v>
      </c>
    </row>
    <row r="170" spans="1:2" x14ac:dyDescent="0.3">
      <c r="A170" s="12">
        <v>2025</v>
      </c>
      <c r="B170" s="14" t="s">
        <v>90</v>
      </c>
    </row>
    <row r="171" spans="1:2" x14ac:dyDescent="0.3">
      <c r="A171" s="13">
        <v>2025</v>
      </c>
      <c r="B171" s="15" t="s">
        <v>57</v>
      </c>
    </row>
    <row r="172" spans="1:2" x14ac:dyDescent="0.3">
      <c r="A172" s="12">
        <v>2025</v>
      </c>
      <c r="B172" s="14" t="s">
        <v>81</v>
      </c>
    </row>
    <row r="173" spans="1:2" x14ac:dyDescent="0.3">
      <c r="A173" s="13">
        <v>2025</v>
      </c>
      <c r="B173" s="15" t="s">
        <v>51</v>
      </c>
    </row>
    <row r="174" spans="1:2" x14ac:dyDescent="0.3">
      <c r="A174" s="12">
        <v>2025</v>
      </c>
      <c r="B174" s="14" t="s">
        <v>100</v>
      </c>
    </row>
    <row r="175" spans="1:2" x14ac:dyDescent="0.3">
      <c r="A175" s="13">
        <v>2025</v>
      </c>
      <c r="B175" s="15" t="s">
        <v>59</v>
      </c>
    </row>
    <row r="176" spans="1:2" x14ac:dyDescent="0.3">
      <c r="A176" s="12">
        <v>2025</v>
      </c>
      <c r="B176" s="14" t="s">
        <v>98</v>
      </c>
    </row>
    <row r="177" spans="1:2" x14ac:dyDescent="0.3">
      <c r="A177" s="13">
        <v>2025</v>
      </c>
      <c r="B177" s="15" t="s">
        <v>98</v>
      </c>
    </row>
    <row r="178" spans="1:2" x14ac:dyDescent="0.3">
      <c r="A178" s="12">
        <v>2025</v>
      </c>
      <c r="B178" s="14" t="s">
        <v>87</v>
      </c>
    </row>
    <row r="179" spans="1:2" x14ac:dyDescent="0.3">
      <c r="A179" s="13">
        <v>2025</v>
      </c>
      <c r="B179" s="15" t="s">
        <v>104</v>
      </c>
    </row>
    <row r="180" spans="1:2" x14ac:dyDescent="0.3">
      <c r="A180" s="12">
        <v>2025</v>
      </c>
      <c r="B180" s="14" t="s">
        <v>36</v>
      </c>
    </row>
    <row r="181" spans="1:2" x14ac:dyDescent="0.3">
      <c r="A181" s="13">
        <v>2025</v>
      </c>
      <c r="B181" s="15" t="s">
        <v>38</v>
      </c>
    </row>
    <row r="182" spans="1:2" x14ac:dyDescent="0.3">
      <c r="A182" s="12">
        <v>2025</v>
      </c>
      <c r="B182" s="14" t="s">
        <v>75</v>
      </c>
    </row>
    <row r="183" spans="1:2" x14ac:dyDescent="0.3">
      <c r="A183" s="13">
        <v>2025</v>
      </c>
      <c r="B183" s="15" t="s">
        <v>41</v>
      </c>
    </row>
    <row r="184" spans="1:2" x14ac:dyDescent="0.3">
      <c r="A184" s="12">
        <v>2025</v>
      </c>
      <c r="B184" s="14" t="s">
        <v>74</v>
      </c>
    </row>
    <row r="185" spans="1:2" x14ac:dyDescent="0.3">
      <c r="A185" s="13">
        <v>2025</v>
      </c>
      <c r="B185" s="15" t="s">
        <v>54</v>
      </c>
    </row>
    <row r="186" spans="1:2" x14ac:dyDescent="0.3">
      <c r="A186" s="12">
        <v>2025</v>
      </c>
      <c r="B186" s="14" t="s">
        <v>126</v>
      </c>
    </row>
    <row r="187" spans="1:2" x14ac:dyDescent="0.3">
      <c r="A187" s="13">
        <v>2025</v>
      </c>
      <c r="B187" s="15" t="s">
        <v>12</v>
      </c>
    </row>
    <row r="188" spans="1:2" x14ac:dyDescent="0.3">
      <c r="A188" s="12">
        <v>2025</v>
      </c>
      <c r="B188" s="14" t="s">
        <v>105</v>
      </c>
    </row>
    <row r="189" spans="1:2" x14ac:dyDescent="0.3">
      <c r="A189" s="13">
        <v>2025</v>
      </c>
      <c r="B189" s="15" t="s">
        <v>100</v>
      </c>
    </row>
    <row r="190" spans="1:2" x14ac:dyDescent="0.3">
      <c r="A190" s="12">
        <v>2025</v>
      </c>
      <c r="B190" s="14" t="s">
        <v>105</v>
      </c>
    </row>
    <row r="191" spans="1:2" x14ac:dyDescent="0.3">
      <c r="A191" s="13">
        <v>2025</v>
      </c>
      <c r="B191" s="15" t="s">
        <v>33</v>
      </c>
    </row>
    <row r="192" spans="1:2" x14ac:dyDescent="0.3">
      <c r="A192" s="12">
        <v>2025</v>
      </c>
      <c r="B192" s="14" t="s">
        <v>38</v>
      </c>
    </row>
    <row r="193" spans="1:2" x14ac:dyDescent="0.3">
      <c r="A193" s="13">
        <v>2025</v>
      </c>
      <c r="B193" s="15" t="s">
        <v>89</v>
      </c>
    </row>
    <row r="194" spans="1:2" x14ac:dyDescent="0.3">
      <c r="A194" s="12">
        <v>2025</v>
      </c>
      <c r="B194" s="14" t="s">
        <v>89</v>
      </c>
    </row>
    <row r="195" spans="1:2" x14ac:dyDescent="0.3">
      <c r="A195" s="13">
        <v>2025</v>
      </c>
      <c r="B195" s="15" t="s">
        <v>110</v>
      </c>
    </row>
    <row r="196" spans="1:2" x14ac:dyDescent="0.3">
      <c r="A196" s="12">
        <v>2025</v>
      </c>
      <c r="B196" s="14" t="s">
        <v>90</v>
      </c>
    </row>
    <row r="197" spans="1:2" x14ac:dyDescent="0.3">
      <c r="A197" s="13">
        <v>2025</v>
      </c>
      <c r="B197" s="15" t="s">
        <v>43</v>
      </c>
    </row>
    <row r="198" spans="1:2" x14ac:dyDescent="0.3">
      <c r="A198" s="12">
        <v>2025</v>
      </c>
      <c r="B198" s="14" t="s">
        <v>48</v>
      </c>
    </row>
    <row r="199" spans="1:2" x14ac:dyDescent="0.3">
      <c r="A199" s="13">
        <v>2025</v>
      </c>
      <c r="B199" s="15" t="s">
        <v>93</v>
      </c>
    </row>
    <row r="200" spans="1:2" x14ac:dyDescent="0.3">
      <c r="A200" s="12">
        <v>2025</v>
      </c>
      <c r="B200" s="14" t="s">
        <v>43</v>
      </c>
    </row>
    <row r="201" spans="1:2" x14ac:dyDescent="0.3">
      <c r="A201" s="13">
        <v>2025</v>
      </c>
      <c r="B201" s="15" t="s">
        <v>66</v>
      </c>
    </row>
    <row r="202" spans="1:2" x14ac:dyDescent="0.3">
      <c r="A202" s="12">
        <v>2025</v>
      </c>
      <c r="B202" s="14" t="s">
        <v>75</v>
      </c>
    </row>
    <row r="203" spans="1:2" x14ac:dyDescent="0.3">
      <c r="A203" s="13">
        <v>2025</v>
      </c>
      <c r="B203" s="15" t="s">
        <v>95</v>
      </c>
    </row>
    <row r="204" spans="1:2" x14ac:dyDescent="0.3">
      <c r="A204" s="12">
        <v>2025</v>
      </c>
      <c r="B204" s="14" t="s">
        <v>113</v>
      </c>
    </row>
    <row r="205" spans="1:2" x14ac:dyDescent="0.3">
      <c r="A205" s="13">
        <v>2025</v>
      </c>
      <c r="B205" s="15" t="s">
        <v>128</v>
      </c>
    </row>
    <row r="206" spans="1:2" x14ac:dyDescent="0.3">
      <c r="A206" s="12">
        <v>2025</v>
      </c>
      <c r="B206" s="14" t="s">
        <v>131</v>
      </c>
    </row>
    <row r="207" spans="1:2" x14ac:dyDescent="0.3">
      <c r="A207" s="13">
        <v>2025</v>
      </c>
      <c r="B207" s="15" t="s">
        <v>117</v>
      </c>
    </row>
    <row r="208" spans="1:2" x14ac:dyDescent="0.3">
      <c r="A208" s="12">
        <v>2025</v>
      </c>
      <c r="B208" s="14" t="s">
        <v>93</v>
      </c>
    </row>
    <row r="209" spans="1:2" x14ac:dyDescent="0.3">
      <c r="A209" s="13">
        <v>2025</v>
      </c>
      <c r="B209" s="15" t="s">
        <v>12</v>
      </c>
    </row>
    <row r="210" spans="1:2" x14ac:dyDescent="0.3">
      <c r="A210" s="12">
        <v>2025</v>
      </c>
      <c r="B210" s="14" t="s">
        <v>99</v>
      </c>
    </row>
    <row r="211" spans="1:2" x14ac:dyDescent="0.3">
      <c r="A211" s="13">
        <v>2025</v>
      </c>
      <c r="B211" s="15" t="s">
        <v>112</v>
      </c>
    </row>
    <row r="212" spans="1:2" x14ac:dyDescent="0.3">
      <c r="A212" s="12">
        <v>2025</v>
      </c>
      <c r="B212" s="14" t="s">
        <v>36</v>
      </c>
    </row>
    <row r="213" spans="1:2" x14ac:dyDescent="0.3">
      <c r="A213" s="13">
        <v>2025</v>
      </c>
      <c r="B213" s="15" t="s">
        <v>8</v>
      </c>
    </row>
    <row r="214" spans="1:2" x14ac:dyDescent="0.3">
      <c r="A214" s="12">
        <v>2025</v>
      </c>
      <c r="B214" s="14" t="s">
        <v>14</v>
      </c>
    </row>
    <row r="215" spans="1:2" x14ac:dyDescent="0.3">
      <c r="A215" s="13">
        <v>2025</v>
      </c>
      <c r="B215" s="15" t="s">
        <v>118</v>
      </c>
    </row>
    <row r="216" spans="1:2" x14ac:dyDescent="0.3">
      <c r="A216" s="12">
        <v>2025</v>
      </c>
      <c r="B216" s="14" t="s">
        <v>44</v>
      </c>
    </row>
    <row r="217" spans="1:2" x14ac:dyDescent="0.3">
      <c r="A217" s="13">
        <v>2025</v>
      </c>
      <c r="B217" s="15" t="s">
        <v>119</v>
      </c>
    </row>
    <row r="218" spans="1:2" x14ac:dyDescent="0.3">
      <c r="A218" s="12">
        <v>2025</v>
      </c>
      <c r="B218" s="14" t="s">
        <v>80</v>
      </c>
    </row>
    <row r="219" spans="1:2" x14ac:dyDescent="0.3">
      <c r="A219" s="13">
        <v>2025</v>
      </c>
      <c r="B219" s="15" t="s">
        <v>100</v>
      </c>
    </row>
    <row r="220" spans="1:2" x14ac:dyDescent="0.3">
      <c r="A220" s="12">
        <v>2025</v>
      </c>
      <c r="B220" s="14" t="s">
        <v>96</v>
      </c>
    </row>
    <row r="221" spans="1:2" x14ac:dyDescent="0.3">
      <c r="A221" s="13">
        <v>2025</v>
      </c>
      <c r="B221" s="15" t="s">
        <v>48</v>
      </c>
    </row>
    <row r="222" spans="1:2" x14ac:dyDescent="0.3">
      <c r="A222" s="12">
        <v>2025</v>
      </c>
      <c r="B222" s="14" t="s">
        <v>55</v>
      </c>
    </row>
    <row r="223" spans="1:2" x14ac:dyDescent="0.3">
      <c r="A223" s="13">
        <v>2025</v>
      </c>
      <c r="B223" s="15" t="s">
        <v>27</v>
      </c>
    </row>
    <row r="224" spans="1:2" x14ac:dyDescent="0.3">
      <c r="A224" s="12">
        <v>2025</v>
      </c>
      <c r="B224" s="14" t="s">
        <v>71</v>
      </c>
    </row>
    <row r="225" spans="1:2" x14ac:dyDescent="0.3">
      <c r="A225" s="13">
        <v>2025</v>
      </c>
      <c r="B225" s="15" t="s">
        <v>68</v>
      </c>
    </row>
    <row r="226" spans="1:2" x14ac:dyDescent="0.3">
      <c r="A226" s="12">
        <v>2025</v>
      </c>
      <c r="B226" s="14" t="s">
        <v>86</v>
      </c>
    </row>
    <row r="227" spans="1:2" x14ac:dyDescent="0.3">
      <c r="A227" s="13">
        <v>2025</v>
      </c>
      <c r="B227" s="15" t="s">
        <v>83</v>
      </c>
    </row>
    <row r="228" spans="1:2" x14ac:dyDescent="0.3">
      <c r="A228" s="12">
        <v>2025</v>
      </c>
      <c r="B228" s="14" t="s">
        <v>74</v>
      </c>
    </row>
    <row r="229" spans="1:2" x14ac:dyDescent="0.3">
      <c r="A229" s="13">
        <v>2025</v>
      </c>
      <c r="B229" s="15" t="s">
        <v>41</v>
      </c>
    </row>
    <row r="230" spans="1:2" x14ac:dyDescent="0.3">
      <c r="A230" s="12">
        <v>2025</v>
      </c>
      <c r="B230" s="14" t="s">
        <v>75</v>
      </c>
    </row>
    <row r="231" spans="1:2" x14ac:dyDescent="0.3">
      <c r="A231" s="13">
        <v>2025</v>
      </c>
      <c r="B231" s="15" t="s">
        <v>96</v>
      </c>
    </row>
    <row r="232" spans="1:2" x14ac:dyDescent="0.3">
      <c r="A232" s="12">
        <v>2025</v>
      </c>
      <c r="B232" s="14" t="s">
        <v>79</v>
      </c>
    </row>
    <row r="233" spans="1:2" x14ac:dyDescent="0.3">
      <c r="A233" s="13">
        <v>2025</v>
      </c>
      <c r="B233" s="15" t="s">
        <v>132</v>
      </c>
    </row>
    <row r="234" spans="1:2" x14ac:dyDescent="0.3">
      <c r="A234" s="12">
        <v>2025</v>
      </c>
      <c r="B234" s="14" t="s">
        <v>60</v>
      </c>
    </row>
    <row r="235" spans="1:2" x14ac:dyDescent="0.3">
      <c r="A235" s="13">
        <v>2025</v>
      </c>
      <c r="B235" s="15" t="s">
        <v>123</v>
      </c>
    </row>
    <row r="236" spans="1:2" x14ac:dyDescent="0.3">
      <c r="A236" s="12">
        <v>2025</v>
      </c>
      <c r="B236" s="14" t="s">
        <v>66</v>
      </c>
    </row>
    <row r="237" spans="1:2" x14ac:dyDescent="0.3">
      <c r="A237" s="13">
        <v>2025</v>
      </c>
      <c r="B237" s="15" t="s">
        <v>50</v>
      </c>
    </row>
    <row r="238" spans="1:2" x14ac:dyDescent="0.3">
      <c r="A238" s="12">
        <v>2025</v>
      </c>
      <c r="B238" s="14" t="s">
        <v>43</v>
      </c>
    </row>
    <row r="239" spans="1:2" x14ac:dyDescent="0.3">
      <c r="A239" s="13">
        <v>2025</v>
      </c>
      <c r="B239" s="15" t="s">
        <v>106</v>
      </c>
    </row>
    <row r="240" spans="1:2" x14ac:dyDescent="0.3">
      <c r="A240" s="12">
        <v>2025</v>
      </c>
      <c r="B240" s="14" t="s">
        <v>43</v>
      </c>
    </row>
    <row r="241" spans="1:2" x14ac:dyDescent="0.3">
      <c r="A241" s="13">
        <v>2025</v>
      </c>
      <c r="B241" s="15" t="s">
        <v>27</v>
      </c>
    </row>
    <row r="242" spans="1:2" x14ac:dyDescent="0.3">
      <c r="A242" s="12">
        <v>2025</v>
      </c>
      <c r="B242" s="14" t="s">
        <v>85</v>
      </c>
    </row>
    <row r="243" spans="1:2" x14ac:dyDescent="0.3">
      <c r="A243" s="13">
        <v>2025</v>
      </c>
      <c r="B243" s="15" t="s">
        <v>99</v>
      </c>
    </row>
    <row r="244" spans="1:2" x14ac:dyDescent="0.3">
      <c r="A244" s="12">
        <v>2025</v>
      </c>
      <c r="B244" s="14" t="s">
        <v>92</v>
      </c>
    </row>
    <row r="245" spans="1:2" x14ac:dyDescent="0.3">
      <c r="A245" s="13">
        <v>2025</v>
      </c>
      <c r="B245" s="15" t="s">
        <v>27</v>
      </c>
    </row>
    <row r="246" spans="1:2" x14ac:dyDescent="0.3">
      <c r="A246" s="12">
        <v>2025</v>
      </c>
      <c r="B246" s="14" t="s">
        <v>118</v>
      </c>
    </row>
    <row r="247" spans="1:2" x14ac:dyDescent="0.3">
      <c r="A247" s="13">
        <v>2025</v>
      </c>
      <c r="B247" s="15" t="s">
        <v>116</v>
      </c>
    </row>
    <row r="248" spans="1:2" x14ac:dyDescent="0.3">
      <c r="A248" s="12">
        <v>2025</v>
      </c>
      <c r="B248" s="14" t="s">
        <v>43</v>
      </c>
    </row>
    <row r="249" spans="1:2" x14ac:dyDescent="0.3">
      <c r="A249" s="13">
        <v>2025</v>
      </c>
      <c r="B249" s="15" t="s">
        <v>48</v>
      </c>
    </row>
    <row r="250" spans="1:2" x14ac:dyDescent="0.3">
      <c r="A250" s="12">
        <v>2025</v>
      </c>
      <c r="B250" s="14" t="s">
        <v>42</v>
      </c>
    </row>
    <row r="251" spans="1:2" x14ac:dyDescent="0.3">
      <c r="A251" s="13">
        <v>2025</v>
      </c>
      <c r="B251" s="15" t="s">
        <v>61</v>
      </c>
    </row>
    <row r="252" spans="1:2" x14ac:dyDescent="0.3">
      <c r="A252" s="12">
        <v>2025</v>
      </c>
      <c r="B252" s="14" t="s">
        <v>46</v>
      </c>
    </row>
    <row r="253" spans="1:2" x14ac:dyDescent="0.3">
      <c r="A253" s="13">
        <v>2025</v>
      </c>
      <c r="B253" s="15" t="s">
        <v>98</v>
      </c>
    </row>
    <row r="254" spans="1:2" x14ac:dyDescent="0.3">
      <c r="A254" s="12">
        <v>2025</v>
      </c>
      <c r="B254" s="14" t="s">
        <v>71</v>
      </c>
    </row>
    <row r="255" spans="1:2" x14ac:dyDescent="0.3">
      <c r="A255" s="13">
        <v>2025</v>
      </c>
      <c r="B255" s="15" t="s">
        <v>90</v>
      </c>
    </row>
    <row r="256" spans="1:2" x14ac:dyDescent="0.3">
      <c r="A256" s="12">
        <v>2025</v>
      </c>
      <c r="B256" s="14" t="s">
        <v>112</v>
      </c>
    </row>
    <row r="257" spans="1:2" x14ac:dyDescent="0.3">
      <c r="A257" s="13">
        <v>2025</v>
      </c>
      <c r="B257" s="15" t="s">
        <v>54</v>
      </c>
    </row>
    <row r="258" spans="1:2" x14ac:dyDescent="0.3">
      <c r="A258" s="12">
        <v>2025</v>
      </c>
      <c r="B258" s="14" t="s">
        <v>56</v>
      </c>
    </row>
    <row r="259" spans="1:2" x14ac:dyDescent="0.3">
      <c r="A259" s="13">
        <v>2025</v>
      </c>
      <c r="B259" s="15" t="s">
        <v>42</v>
      </c>
    </row>
    <row r="260" spans="1:2" x14ac:dyDescent="0.3">
      <c r="A260" s="12">
        <v>2025</v>
      </c>
      <c r="B260" s="14" t="s">
        <v>52</v>
      </c>
    </row>
    <row r="261" spans="1:2" x14ac:dyDescent="0.3">
      <c r="A261" s="13">
        <v>2025</v>
      </c>
      <c r="B261" s="15" t="s">
        <v>59</v>
      </c>
    </row>
    <row r="262" spans="1:2" x14ac:dyDescent="0.3">
      <c r="A262" s="12">
        <v>2025</v>
      </c>
      <c r="B262" s="14" t="s">
        <v>80</v>
      </c>
    </row>
    <row r="263" spans="1:2" x14ac:dyDescent="0.3">
      <c r="A263" s="13">
        <v>2025</v>
      </c>
      <c r="B263" s="15" t="s">
        <v>72</v>
      </c>
    </row>
    <row r="264" spans="1:2" x14ac:dyDescent="0.3">
      <c r="A264" s="12">
        <v>2025</v>
      </c>
      <c r="B264" s="14" t="s">
        <v>48</v>
      </c>
    </row>
    <row r="265" spans="1:2" x14ac:dyDescent="0.3">
      <c r="A265" s="13">
        <v>2025</v>
      </c>
      <c r="B265" s="15" t="s">
        <v>74</v>
      </c>
    </row>
    <row r="266" spans="1:2" x14ac:dyDescent="0.3">
      <c r="A266" s="12">
        <v>2025</v>
      </c>
      <c r="B266" s="14" t="s">
        <v>38</v>
      </c>
    </row>
    <row r="267" spans="1:2" x14ac:dyDescent="0.3">
      <c r="A267" s="13">
        <v>2025</v>
      </c>
      <c r="B267" s="15" t="s">
        <v>95</v>
      </c>
    </row>
    <row r="268" spans="1:2" x14ac:dyDescent="0.3">
      <c r="A268" s="12">
        <v>2025</v>
      </c>
      <c r="B268" s="14" t="s">
        <v>87</v>
      </c>
    </row>
    <row r="269" spans="1:2" x14ac:dyDescent="0.3">
      <c r="A269" s="13">
        <v>2025</v>
      </c>
      <c r="B269" s="15" t="s">
        <v>117</v>
      </c>
    </row>
    <row r="270" spans="1:2" x14ac:dyDescent="0.3">
      <c r="A270" s="12">
        <v>2025</v>
      </c>
      <c r="B270" s="14" t="s">
        <v>54</v>
      </c>
    </row>
    <row r="271" spans="1:2" x14ac:dyDescent="0.3">
      <c r="A271" s="13">
        <v>2025</v>
      </c>
      <c r="B271" s="15" t="s">
        <v>111</v>
      </c>
    </row>
    <row r="272" spans="1:2" x14ac:dyDescent="0.3">
      <c r="A272" s="12">
        <v>2025</v>
      </c>
      <c r="B272" s="14" t="s">
        <v>78</v>
      </c>
    </row>
    <row r="273" spans="1:2" x14ac:dyDescent="0.3">
      <c r="A273" s="13">
        <v>2025</v>
      </c>
      <c r="B273" s="15" t="s">
        <v>46</v>
      </c>
    </row>
    <row r="274" spans="1:2" x14ac:dyDescent="0.3">
      <c r="A274" s="12">
        <v>2025</v>
      </c>
      <c r="B274" s="14" t="s">
        <v>55</v>
      </c>
    </row>
    <row r="275" spans="1:2" x14ac:dyDescent="0.3">
      <c r="A275" s="13">
        <v>2025</v>
      </c>
      <c r="B275" s="15" t="s">
        <v>99</v>
      </c>
    </row>
    <row r="276" spans="1:2" x14ac:dyDescent="0.3">
      <c r="A276" s="12">
        <v>2025</v>
      </c>
      <c r="B276" s="14" t="s">
        <v>102</v>
      </c>
    </row>
    <row r="277" spans="1:2" x14ac:dyDescent="0.3">
      <c r="A277" s="13">
        <v>2025</v>
      </c>
      <c r="B277" s="15" t="s">
        <v>44</v>
      </c>
    </row>
    <row r="278" spans="1:2" x14ac:dyDescent="0.3">
      <c r="A278" s="12">
        <v>2025</v>
      </c>
      <c r="B278" s="14" t="s">
        <v>93</v>
      </c>
    </row>
    <row r="279" spans="1:2" x14ac:dyDescent="0.3">
      <c r="A279" s="13">
        <v>2025</v>
      </c>
      <c r="B279" s="15" t="s">
        <v>30</v>
      </c>
    </row>
    <row r="280" spans="1:2" x14ac:dyDescent="0.3">
      <c r="A280" s="12">
        <v>2025</v>
      </c>
      <c r="B280" s="14" t="s">
        <v>98</v>
      </c>
    </row>
    <row r="281" spans="1:2" x14ac:dyDescent="0.3">
      <c r="A281" s="13">
        <v>2025</v>
      </c>
      <c r="B281" s="15" t="s">
        <v>50</v>
      </c>
    </row>
    <row r="282" spans="1:2" x14ac:dyDescent="0.3">
      <c r="A282" s="12">
        <v>2025</v>
      </c>
      <c r="B282" s="14" t="s">
        <v>82</v>
      </c>
    </row>
    <row r="283" spans="1:2" x14ac:dyDescent="0.3">
      <c r="A283" s="13">
        <v>2025</v>
      </c>
      <c r="B283" s="15" t="s">
        <v>86</v>
      </c>
    </row>
    <row r="284" spans="1:2" x14ac:dyDescent="0.3">
      <c r="A284" s="12">
        <v>2025</v>
      </c>
      <c r="B284" s="14" t="s">
        <v>82</v>
      </c>
    </row>
    <row r="285" spans="1:2" x14ac:dyDescent="0.3">
      <c r="A285" s="13">
        <v>2025</v>
      </c>
      <c r="B285" s="15" t="s">
        <v>125</v>
      </c>
    </row>
    <row r="286" spans="1:2" x14ac:dyDescent="0.3">
      <c r="A286" s="12">
        <v>2025</v>
      </c>
      <c r="B286" s="14" t="s">
        <v>132</v>
      </c>
    </row>
    <row r="287" spans="1:2" x14ac:dyDescent="0.3">
      <c r="A287" s="13">
        <v>2025</v>
      </c>
      <c r="B287" s="15" t="s">
        <v>100</v>
      </c>
    </row>
    <row r="288" spans="1:2" x14ac:dyDescent="0.3">
      <c r="A288" s="12">
        <v>2025</v>
      </c>
      <c r="B288" s="14" t="s">
        <v>97</v>
      </c>
    </row>
    <row r="289" spans="1:2" x14ac:dyDescent="0.3">
      <c r="A289" s="13">
        <v>2025</v>
      </c>
      <c r="B289" s="15" t="s">
        <v>124</v>
      </c>
    </row>
    <row r="290" spans="1:2" x14ac:dyDescent="0.3">
      <c r="A290" s="12">
        <v>2025</v>
      </c>
      <c r="B290" s="14" t="s">
        <v>109</v>
      </c>
    </row>
    <row r="291" spans="1:2" x14ac:dyDescent="0.3">
      <c r="A291" s="13">
        <v>2025</v>
      </c>
      <c r="B291" s="15" t="s">
        <v>75</v>
      </c>
    </row>
    <row r="292" spans="1:2" x14ac:dyDescent="0.3">
      <c r="A292" s="12">
        <v>2025</v>
      </c>
      <c r="B292" s="14" t="s">
        <v>67</v>
      </c>
    </row>
    <row r="293" spans="1:2" x14ac:dyDescent="0.3">
      <c r="A293" s="13">
        <v>2025</v>
      </c>
      <c r="B293" s="15" t="s">
        <v>55</v>
      </c>
    </row>
    <row r="294" spans="1:2" x14ac:dyDescent="0.3">
      <c r="A294" s="12">
        <v>2025</v>
      </c>
      <c r="B294" s="14" t="s">
        <v>87</v>
      </c>
    </row>
    <row r="295" spans="1:2" x14ac:dyDescent="0.3">
      <c r="A295" s="13">
        <v>2025</v>
      </c>
      <c r="B295" s="15" t="s">
        <v>78</v>
      </c>
    </row>
    <row r="296" spans="1:2" x14ac:dyDescent="0.3">
      <c r="A296" s="12">
        <v>2025</v>
      </c>
      <c r="B296" s="14" t="s">
        <v>14</v>
      </c>
    </row>
    <row r="297" spans="1:2" x14ac:dyDescent="0.3">
      <c r="A297" s="13">
        <v>2025</v>
      </c>
      <c r="B297" s="15" t="s">
        <v>100</v>
      </c>
    </row>
    <row r="298" spans="1:2" x14ac:dyDescent="0.3">
      <c r="A298" s="12">
        <v>2025</v>
      </c>
      <c r="B298" s="14" t="s">
        <v>38</v>
      </c>
    </row>
    <row r="299" spans="1:2" x14ac:dyDescent="0.3">
      <c r="A299" s="13">
        <v>2025</v>
      </c>
      <c r="B299" s="15" t="s">
        <v>41</v>
      </c>
    </row>
    <row r="300" spans="1:2" x14ac:dyDescent="0.3">
      <c r="A300" s="12">
        <v>2025</v>
      </c>
      <c r="B300" s="14" t="s">
        <v>89</v>
      </c>
    </row>
    <row r="301" spans="1:2" x14ac:dyDescent="0.3">
      <c r="A301" s="13">
        <v>2025</v>
      </c>
      <c r="B301" s="15" t="s">
        <v>86</v>
      </c>
    </row>
    <row r="302" spans="1:2" x14ac:dyDescent="0.3">
      <c r="A302" s="12">
        <v>2025</v>
      </c>
      <c r="B302" s="14" t="s">
        <v>42</v>
      </c>
    </row>
    <row r="303" spans="1:2" x14ac:dyDescent="0.3">
      <c r="A303" s="13">
        <v>2025</v>
      </c>
      <c r="B303" s="15" t="s">
        <v>113</v>
      </c>
    </row>
    <row r="304" spans="1:2" x14ac:dyDescent="0.3">
      <c r="A304" s="12">
        <v>2025</v>
      </c>
      <c r="B304" s="14" t="s">
        <v>114</v>
      </c>
    </row>
    <row r="305" spans="1:2" x14ac:dyDescent="0.3">
      <c r="A305" s="13">
        <v>2025</v>
      </c>
      <c r="B305" s="15" t="s">
        <v>87</v>
      </c>
    </row>
    <row r="306" spans="1:2" x14ac:dyDescent="0.3">
      <c r="A306" s="12">
        <v>2025</v>
      </c>
      <c r="B306" s="14" t="s">
        <v>99</v>
      </c>
    </row>
    <row r="307" spans="1:2" x14ac:dyDescent="0.3">
      <c r="A307" s="13">
        <v>2025</v>
      </c>
      <c r="B307" s="15" t="s">
        <v>112</v>
      </c>
    </row>
    <row r="308" spans="1:2" x14ac:dyDescent="0.3">
      <c r="A308" s="12">
        <v>2025</v>
      </c>
      <c r="B308" s="14" t="s">
        <v>14</v>
      </c>
    </row>
    <row r="309" spans="1:2" x14ac:dyDescent="0.3">
      <c r="A309" s="13">
        <v>2025</v>
      </c>
      <c r="B309" s="15" t="s">
        <v>79</v>
      </c>
    </row>
    <row r="310" spans="1:2" x14ac:dyDescent="0.3">
      <c r="A310" s="12">
        <v>2025</v>
      </c>
      <c r="B310" s="14" t="s">
        <v>89</v>
      </c>
    </row>
    <row r="311" spans="1:2" x14ac:dyDescent="0.3">
      <c r="A311" s="13">
        <v>2025</v>
      </c>
      <c r="B311" s="15" t="s">
        <v>94</v>
      </c>
    </row>
    <row r="312" spans="1:2" x14ac:dyDescent="0.3">
      <c r="A312" s="12">
        <v>2025</v>
      </c>
      <c r="B312" s="14" t="s">
        <v>89</v>
      </c>
    </row>
    <row r="313" spans="1:2" x14ac:dyDescent="0.3">
      <c r="A313" s="13">
        <v>2025</v>
      </c>
      <c r="B313" s="15" t="s">
        <v>21</v>
      </c>
    </row>
    <row r="314" spans="1:2" x14ac:dyDescent="0.3">
      <c r="A314" s="12">
        <v>2025</v>
      </c>
      <c r="B314" s="14" t="s">
        <v>110</v>
      </c>
    </row>
    <row r="315" spans="1:2" x14ac:dyDescent="0.3">
      <c r="A315" s="13">
        <v>2025</v>
      </c>
      <c r="B315" s="15" t="s">
        <v>104</v>
      </c>
    </row>
    <row r="316" spans="1:2" x14ac:dyDescent="0.3">
      <c r="A316" s="12">
        <v>2025</v>
      </c>
      <c r="B316" s="14" t="s">
        <v>76</v>
      </c>
    </row>
    <row r="317" spans="1:2" x14ac:dyDescent="0.3">
      <c r="A317" s="13">
        <v>2025</v>
      </c>
      <c r="B317" s="15" t="s">
        <v>85</v>
      </c>
    </row>
    <row r="318" spans="1:2" x14ac:dyDescent="0.3">
      <c r="A318" s="12">
        <v>2025</v>
      </c>
      <c r="B318" s="14" t="s">
        <v>110</v>
      </c>
    </row>
    <row r="319" spans="1:2" x14ac:dyDescent="0.3">
      <c r="A319" s="13">
        <v>2025</v>
      </c>
      <c r="B319" s="15" t="s">
        <v>127</v>
      </c>
    </row>
    <row r="320" spans="1:2" x14ac:dyDescent="0.3">
      <c r="A320" s="12">
        <v>2025</v>
      </c>
      <c r="B320" s="14" t="s">
        <v>67</v>
      </c>
    </row>
    <row r="321" spans="1:2" x14ac:dyDescent="0.3">
      <c r="A321" s="13">
        <v>2025</v>
      </c>
      <c r="B321" s="15" t="s">
        <v>54</v>
      </c>
    </row>
    <row r="322" spans="1:2" x14ac:dyDescent="0.3">
      <c r="A322" s="12">
        <v>2025</v>
      </c>
      <c r="B322" s="14" t="s">
        <v>33</v>
      </c>
    </row>
    <row r="323" spans="1:2" x14ac:dyDescent="0.3">
      <c r="A323" s="13">
        <v>2025</v>
      </c>
      <c r="B323" s="15" t="s">
        <v>117</v>
      </c>
    </row>
    <row r="324" spans="1:2" x14ac:dyDescent="0.3">
      <c r="A324" s="12">
        <v>2025</v>
      </c>
      <c r="B324" s="14" t="s">
        <v>100</v>
      </c>
    </row>
    <row r="325" spans="1:2" x14ac:dyDescent="0.3">
      <c r="A325" s="13">
        <v>2025</v>
      </c>
      <c r="B325" s="15" t="s">
        <v>105</v>
      </c>
    </row>
    <row r="326" spans="1:2" x14ac:dyDescent="0.3">
      <c r="A326" s="12">
        <v>2025</v>
      </c>
      <c r="B326" s="14" t="s">
        <v>115</v>
      </c>
    </row>
    <row r="327" spans="1:2" x14ac:dyDescent="0.3">
      <c r="A327" s="13">
        <v>2025</v>
      </c>
      <c r="B327" s="15" t="s">
        <v>123</v>
      </c>
    </row>
    <row r="328" spans="1:2" x14ac:dyDescent="0.3">
      <c r="A328" s="12">
        <v>2025</v>
      </c>
      <c r="B328" s="14" t="s">
        <v>97</v>
      </c>
    </row>
    <row r="329" spans="1:2" x14ac:dyDescent="0.3">
      <c r="A329" s="13">
        <v>2025</v>
      </c>
      <c r="B329" s="15" t="s">
        <v>67</v>
      </c>
    </row>
    <row r="330" spans="1:2" x14ac:dyDescent="0.3">
      <c r="A330" s="12">
        <v>2025</v>
      </c>
      <c r="B330" s="14" t="s">
        <v>59</v>
      </c>
    </row>
    <row r="331" spans="1:2" x14ac:dyDescent="0.3">
      <c r="A331" s="13">
        <v>2025</v>
      </c>
      <c r="B331" s="15" t="s">
        <v>21</v>
      </c>
    </row>
    <row r="332" spans="1:2" x14ac:dyDescent="0.3">
      <c r="A332" s="12">
        <v>2025</v>
      </c>
      <c r="B332" s="14" t="s">
        <v>90</v>
      </c>
    </row>
    <row r="333" spans="1:2" x14ac:dyDescent="0.3">
      <c r="A333" s="13">
        <v>2025</v>
      </c>
      <c r="B333" s="15" t="s">
        <v>26</v>
      </c>
    </row>
    <row r="334" spans="1:2" x14ac:dyDescent="0.3">
      <c r="A334" s="12">
        <v>2025</v>
      </c>
      <c r="B334" s="14" t="s">
        <v>125</v>
      </c>
    </row>
    <row r="335" spans="1:2" x14ac:dyDescent="0.3">
      <c r="A335" s="13">
        <v>2025</v>
      </c>
      <c r="B335" s="15" t="s">
        <v>115</v>
      </c>
    </row>
    <row r="336" spans="1:2" x14ac:dyDescent="0.3">
      <c r="A336" s="12">
        <v>2025</v>
      </c>
      <c r="B336" s="14" t="s">
        <v>68</v>
      </c>
    </row>
    <row r="337" spans="1:2" x14ac:dyDescent="0.3">
      <c r="A337" s="13">
        <v>2025</v>
      </c>
      <c r="B337" s="15" t="s">
        <v>131</v>
      </c>
    </row>
    <row r="338" spans="1:2" x14ac:dyDescent="0.3">
      <c r="A338" s="12">
        <v>2025</v>
      </c>
      <c r="B338" s="14" t="s">
        <v>118</v>
      </c>
    </row>
    <row r="339" spans="1:2" x14ac:dyDescent="0.3">
      <c r="A339" s="13">
        <v>2025</v>
      </c>
      <c r="B339" s="15" t="s">
        <v>91</v>
      </c>
    </row>
    <row r="340" spans="1:2" x14ac:dyDescent="0.3">
      <c r="A340" s="12">
        <v>2025</v>
      </c>
      <c r="B340" s="14" t="s">
        <v>97</v>
      </c>
    </row>
    <row r="341" spans="1:2" x14ac:dyDescent="0.3">
      <c r="A341" s="13">
        <v>2025</v>
      </c>
      <c r="B341" s="15" t="s">
        <v>101</v>
      </c>
    </row>
    <row r="342" spans="1:2" x14ac:dyDescent="0.3">
      <c r="A342" s="12">
        <v>2025</v>
      </c>
      <c r="B342" s="14" t="s">
        <v>104</v>
      </c>
    </row>
    <row r="343" spans="1:2" x14ac:dyDescent="0.3">
      <c r="A343" s="13">
        <v>2025</v>
      </c>
      <c r="B343" s="15" t="s">
        <v>97</v>
      </c>
    </row>
    <row r="344" spans="1:2" x14ac:dyDescent="0.3">
      <c r="A344" s="12">
        <v>2025</v>
      </c>
      <c r="B344" s="14" t="s">
        <v>92</v>
      </c>
    </row>
    <row r="345" spans="1:2" x14ac:dyDescent="0.3">
      <c r="A345" s="13">
        <v>2025</v>
      </c>
      <c r="B345" s="15" t="s">
        <v>95</v>
      </c>
    </row>
    <row r="346" spans="1:2" x14ac:dyDescent="0.3">
      <c r="A346" s="12">
        <v>2025</v>
      </c>
      <c r="B346" s="14" t="s">
        <v>113</v>
      </c>
    </row>
    <row r="347" spans="1:2" x14ac:dyDescent="0.3">
      <c r="A347" s="13">
        <v>2025</v>
      </c>
      <c r="B347" s="15" t="s">
        <v>14</v>
      </c>
    </row>
    <row r="348" spans="1:2" x14ac:dyDescent="0.3">
      <c r="A348" s="12">
        <v>2025</v>
      </c>
      <c r="B348" s="14" t="s">
        <v>50</v>
      </c>
    </row>
    <row r="349" spans="1:2" x14ac:dyDescent="0.3">
      <c r="A349" s="13">
        <v>2025</v>
      </c>
      <c r="B349" s="15" t="s">
        <v>121</v>
      </c>
    </row>
    <row r="350" spans="1:2" x14ac:dyDescent="0.3">
      <c r="A350" s="12">
        <v>2025</v>
      </c>
      <c r="B350" s="14" t="s">
        <v>124</v>
      </c>
    </row>
    <row r="351" spans="1:2" x14ac:dyDescent="0.3">
      <c r="A351" s="13">
        <v>2025</v>
      </c>
      <c r="B351" s="15" t="s">
        <v>80</v>
      </c>
    </row>
    <row r="352" spans="1:2" x14ac:dyDescent="0.3">
      <c r="A352" s="12">
        <v>2025</v>
      </c>
      <c r="B352" s="14" t="s">
        <v>56</v>
      </c>
    </row>
    <row r="353" spans="1:2" x14ac:dyDescent="0.3">
      <c r="A353" s="13">
        <v>2025</v>
      </c>
      <c r="B353" s="15" t="s">
        <v>68</v>
      </c>
    </row>
    <row r="354" spans="1:2" x14ac:dyDescent="0.3">
      <c r="A354" s="12">
        <v>2025</v>
      </c>
      <c r="B354" s="14" t="s">
        <v>130</v>
      </c>
    </row>
    <row r="355" spans="1:2" x14ac:dyDescent="0.3">
      <c r="A355" s="13">
        <v>2025</v>
      </c>
      <c r="B355" s="15" t="s">
        <v>88</v>
      </c>
    </row>
    <row r="356" spans="1:2" x14ac:dyDescent="0.3">
      <c r="A356" s="12">
        <v>2025</v>
      </c>
      <c r="B356" s="14" t="s">
        <v>104</v>
      </c>
    </row>
    <row r="357" spans="1:2" x14ac:dyDescent="0.3">
      <c r="A357" s="13">
        <v>2025</v>
      </c>
      <c r="B357" s="15" t="s">
        <v>85</v>
      </c>
    </row>
    <row r="358" spans="1:2" x14ac:dyDescent="0.3">
      <c r="A358" s="12">
        <v>2025</v>
      </c>
      <c r="B358" s="14" t="s">
        <v>60</v>
      </c>
    </row>
    <row r="359" spans="1:2" x14ac:dyDescent="0.3">
      <c r="A359" s="13">
        <v>2025</v>
      </c>
      <c r="B359" s="15" t="s">
        <v>78</v>
      </c>
    </row>
    <row r="360" spans="1:2" x14ac:dyDescent="0.3">
      <c r="A360" s="12">
        <v>2025</v>
      </c>
      <c r="B360" s="14" t="s">
        <v>64</v>
      </c>
    </row>
    <row r="361" spans="1:2" x14ac:dyDescent="0.3">
      <c r="A361" s="13">
        <v>2025</v>
      </c>
      <c r="B361" s="15" t="s">
        <v>62</v>
      </c>
    </row>
    <row r="362" spans="1:2" x14ac:dyDescent="0.3">
      <c r="A362" s="12">
        <v>2025</v>
      </c>
      <c r="B362" s="14" t="s">
        <v>87</v>
      </c>
    </row>
    <row r="363" spans="1:2" x14ac:dyDescent="0.3">
      <c r="A363" s="13">
        <v>2025</v>
      </c>
      <c r="B363" s="15" t="s">
        <v>107</v>
      </c>
    </row>
    <row r="364" spans="1:2" x14ac:dyDescent="0.3">
      <c r="A364" s="12">
        <v>2025</v>
      </c>
      <c r="B364" s="14" t="s">
        <v>84</v>
      </c>
    </row>
    <row r="365" spans="1:2" x14ac:dyDescent="0.3">
      <c r="A365" s="13">
        <v>2025</v>
      </c>
      <c r="B365" s="15" t="s">
        <v>81</v>
      </c>
    </row>
    <row r="366" spans="1:2" x14ac:dyDescent="0.3">
      <c r="A366" s="12">
        <v>2025</v>
      </c>
      <c r="B366" s="14" t="s">
        <v>59</v>
      </c>
    </row>
    <row r="367" spans="1:2" x14ac:dyDescent="0.3">
      <c r="A367" s="13">
        <v>2025</v>
      </c>
      <c r="B367" s="15" t="s">
        <v>17</v>
      </c>
    </row>
    <row r="368" spans="1:2" x14ac:dyDescent="0.3">
      <c r="A368" s="12">
        <v>2025</v>
      </c>
      <c r="B368" s="14" t="s">
        <v>79</v>
      </c>
    </row>
    <row r="369" spans="1:2" x14ac:dyDescent="0.3">
      <c r="A369" s="13">
        <v>2025</v>
      </c>
      <c r="B369" s="15" t="s">
        <v>67</v>
      </c>
    </row>
    <row r="370" spans="1:2" x14ac:dyDescent="0.3">
      <c r="A370" s="12">
        <v>2025</v>
      </c>
      <c r="B370" s="14" t="s">
        <v>95</v>
      </c>
    </row>
    <row r="371" spans="1:2" x14ac:dyDescent="0.3">
      <c r="A371" s="13">
        <v>2025</v>
      </c>
      <c r="B371" s="15" t="s">
        <v>121</v>
      </c>
    </row>
    <row r="372" spans="1:2" x14ac:dyDescent="0.3">
      <c r="A372" s="12">
        <v>2025</v>
      </c>
      <c r="B372" s="14" t="s">
        <v>70</v>
      </c>
    </row>
    <row r="373" spans="1:2" x14ac:dyDescent="0.3">
      <c r="A373" s="13">
        <v>2025</v>
      </c>
      <c r="B373" s="15" t="s">
        <v>90</v>
      </c>
    </row>
    <row r="374" spans="1:2" x14ac:dyDescent="0.3">
      <c r="A374" s="12">
        <v>2025</v>
      </c>
      <c r="B374" s="14" t="s">
        <v>110</v>
      </c>
    </row>
    <row r="375" spans="1:2" x14ac:dyDescent="0.3">
      <c r="A375" s="13">
        <v>2025</v>
      </c>
      <c r="B375" s="15" t="s">
        <v>61</v>
      </c>
    </row>
    <row r="376" spans="1:2" x14ac:dyDescent="0.3">
      <c r="A376" s="12">
        <v>2025</v>
      </c>
      <c r="B376" s="14" t="s">
        <v>60</v>
      </c>
    </row>
    <row r="377" spans="1:2" x14ac:dyDescent="0.3">
      <c r="A377" s="13">
        <v>2025</v>
      </c>
      <c r="B377" s="15" t="s">
        <v>64</v>
      </c>
    </row>
    <row r="378" spans="1:2" x14ac:dyDescent="0.3">
      <c r="A378" s="12">
        <v>2025</v>
      </c>
      <c r="B378" s="14" t="s">
        <v>131</v>
      </c>
    </row>
    <row r="379" spans="1:2" x14ac:dyDescent="0.3">
      <c r="A379" s="13">
        <v>2025</v>
      </c>
      <c r="B379" s="15" t="s">
        <v>83</v>
      </c>
    </row>
    <row r="380" spans="1:2" x14ac:dyDescent="0.3">
      <c r="A380" s="12">
        <v>2025</v>
      </c>
      <c r="B380" s="14" t="s">
        <v>47</v>
      </c>
    </row>
    <row r="381" spans="1:2" x14ac:dyDescent="0.3">
      <c r="A381" s="13">
        <v>2025</v>
      </c>
      <c r="B381" s="15" t="s">
        <v>70</v>
      </c>
    </row>
    <row r="382" spans="1:2" x14ac:dyDescent="0.3">
      <c r="A382" s="12">
        <v>2025</v>
      </c>
      <c r="B382" s="14" t="s">
        <v>26</v>
      </c>
    </row>
    <row r="383" spans="1:2" x14ac:dyDescent="0.3">
      <c r="A383" s="13">
        <v>2025</v>
      </c>
      <c r="B383" s="15" t="s">
        <v>27</v>
      </c>
    </row>
    <row r="384" spans="1:2" x14ac:dyDescent="0.3">
      <c r="A384" s="12">
        <v>2025</v>
      </c>
      <c r="B384" s="14" t="s">
        <v>88</v>
      </c>
    </row>
    <row r="385" spans="1:2" x14ac:dyDescent="0.3">
      <c r="A385" s="13">
        <v>2025</v>
      </c>
      <c r="B385" s="15" t="s">
        <v>83</v>
      </c>
    </row>
    <row r="386" spans="1:2" x14ac:dyDescent="0.3">
      <c r="A386" s="12">
        <v>2025</v>
      </c>
      <c r="B386" s="14" t="s">
        <v>38</v>
      </c>
    </row>
    <row r="387" spans="1:2" x14ac:dyDescent="0.3">
      <c r="A387" s="13">
        <v>2025</v>
      </c>
      <c r="B387" s="15" t="s">
        <v>130</v>
      </c>
    </row>
    <row r="388" spans="1:2" x14ac:dyDescent="0.3">
      <c r="A388" s="12">
        <v>2025</v>
      </c>
      <c r="B388" s="14" t="s">
        <v>26</v>
      </c>
    </row>
    <row r="389" spans="1:2" x14ac:dyDescent="0.3">
      <c r="A389" s="13">
        <v>2025</v>
      </c>
      <c r="B389" s="15" t="s">
        <v>66</v>
      </c>
    </row>
    <row r="390" spans="1:2" x14ac:dyDescent="0.3">
      <c r="A390" s="12">
        <v>2025</v>
      </c>
      <c r="B390" s="14" t="s">
        <v>100</v>
      </c>
    </row>
    <row r="391" spans="1:2" x14ac:dyDescent="0.3">
      <c r="A391" s="13">
        <v>2025</v>
      </c>
      <c r="B391" s="15" t="s">
        <v>41</v>
      </c>
    </row>
    <row r="392" spans="1:2" x14ac:dyDescent="0.3">
      <c r="A392" s="12">
        <v>2025</v>
      </c>
      <c r="B392" s="14" t="s">
        <v>122</v>
      </c>
    </row>
    <row r="393" spans="1:2" x14ac:dyDescent="0.3">
      <c r="A393" s="13">
        <v>2025</v>
      </c>
      <c r="B393" s="15" t="s">
        <v>52</v>
      </c>
    </row>
    <row r="394" spans="1:2" x14ac:dyDescent="0.3">
      <c r="A394" s="12">
        <v>2025</v>
      </c>
      <c r="B394" s="14" t="s">
        <v>95</v>
      </c>
    </row>
    <row r="395" spans="1:2" x14ac:dyDescent="0.3">
      <c r="A395" s="13">
        <v>2025</v>
      </c>
      <c r="B395" s="15" t="s">
        <v>89</v>
      </c>
    </row>
    <row r="396" spans="1:2" x14ac:dyDescent="0.3">
      <c r="A396" s="12">
        <v>2025</v>
      </c>
      <c r="B396" s="14" t="s">
        <v>33</v>
      </c>
    </row>
    <row r="397" spans="1:2" x14ac:dyDescent="0.3">
      <c r="A397" s="13">
        <v>2025</v>
      </c>
      <c r="B397" s="15" t="s">
        <v>67</v>
      </c>
    </row>
    <row r="398" spans="1:2" x14ac:dyDescent="0.3">
      <c r="A398" s="12">
        <v>2025</v>
      </c>
      <c r="B398" s="14" t="s">
        <v>76</v>
      </c>
    </row>
    <row r="399" spans="1:2" x14ac:dyDescent="0.3">
      <c r="A399" s="13">
        <v>2025</v>
      </c>
      <c r="B399" s="15" t="s">
        <v>72</v>
      </c>
    </row>
    <row r="400" spans="1:2" x14ac:dyDescent="0.3">
      <c r="A400" s="12">
        <v>2025</v>
      </c>
      <c r="B400" s="14" t="s">
        <v>97</v>
      </c>
    </row>
    <row r="401" spans="1:2" x14ac:dyDescent="0.3">
      <c r="A401" s="13">
        <v>2025</v>
      </c>
      <c r="B401" s="15" t="s">
        <v>127</v>
      </c>
    </row>
    <row r="402" spans="1:2" x14ac:dyDescent="0.3">
      <c r="A402" s="12">
        <v>2025</v>
      </c>
      <c r="B402" s="14" t="s">
        <v>96</v>
      </c>
    </row>
    <row r="403" spans="1:2" x14ac:dyDescent="0.3">
      <c r="A403" s="13">
        <v>2025</v>
      </c>
      <c r="B403" s="15" t="s">
        <v>60</v>
      </c>
    </row>
    <row r="404" spans="1:2" x14ac:dyDescent="0.3">
      <c r="A404" s="12">
        <v>2025</v>
      </c>
      <c r="B404" s="14" t="s">
        <v>74</v>
      </c>
    </row>
    <row r="405" spans="1:2" x14ac:dyDescent="0.3">
      <c r="A405" s="13">
        <v>2025</v>
      </c>
      <c r="B405" s="15" t="s">
        <v>122</v>
      </c>
    </row>
    <row r="406" spans="1:2" x14ac:dyDescent="0.3">
      <c r="A406" s="12">
        <v>2025</v>
      </c>
      <c r="B406" s="14" t="s">
        <v>132</v>
      </c>
    </row>
    <row r="407" spans="1:2" x14ac:dyDescent="0.3">
      <c r="A407" s="13">
        <v>2025</v>
      </c>
      <c r="B407" s="15" t="s">
        <v>93</v>
      </c>
    </row>
    <row r="408" spans="1:2" x14ac:dyDescent="0.3">
      <c r="A408" s="12">
        <v>2025</v>
      </c>
      <c r="B408" s="14" t="s">
        <v>86</v>
      </c>
    </row>
    <row r="409" spans="1:2" x14ac:dyDescent="0.3">
      <c r="A409" s="13">
        <v>2025</v>
      </c>
      <c r="B409" s="15" t="s">
        <v>71</v>
      </c>
    </row>
    <row r="410" spans="1:2" x14ac:dyDescent="0.3">
      <c r="A410" s="12">
        <v>2025</v>
      </c>
      <c r="B410" s="14" t="s">
        <v>76</v>
      </c>
    </row>
    <row r="411" spans="1:2" x14ac:dyDescent="0.3">
      <c r="A411" s="13">
        <v>2025</v>
      </c>
      <c r="B411" s="15" t="s">
        <v>66</v>
      </c>
    </row>
    <row r="412" spans="1:2" x14ac:dyDescent="0.3">
      <c r="A412" s="12">
        <v>2025</v>
      </c>
      <c r="B412" s="14" t="s">
        <v>129</v>
      </c>
    </row>
    <row r="413" spans="1:2" x14ac:dyDescent="0.3">
      <c r="A413" s="13">
        <v>2025</v>
      </c>
      <c r="B413" s="15" t="s">
        <v>26</v>
      </c>
    </row>
    <row r="414" spans="1:2" x14ac:dyDescent="0.3">
      <c r="A414" s="12">
        <v>2025</v>
      </c>
      <c r="B414" s="14" t="s">
        <v>120</v>
      </c>
    </row>
    <row r="415" spans="1:2" x14ac:dyDescent="0.3">
      <c r="A415" s="13">
        <v>2025</v>
      </c>
      <c r="B415" s="15" t="s">
        <v>115</v>
      </c>
    </row>
    <row r="416" spans="1:2" x14ac:dyDescent="0.3">
      <c r="A416" s="12">
        <v>2025</v>
      </c>
      <c r="B416" s="14" t="s">
        <v>103</v>
      </c>
    </row>
    <row r="417" spans="1:2" x14ac:dyDescent="0.3">
      <c r="A417" s="13">
        <v>2025</v>
      </c>
      <c r="B417" s="15" t="s">
        <v>100</v>
      </c>
    </row>
    <row r="418" spans="1:2" x14ac:dyDescent="0.3">
      <c r="A418" s="12">
        <v>2025</v>
      </c>
      <c r="B418" s="14" t="s">
        <v>104</v>
      </c>
    </row>
    <row r="419" spans="1:2" x14ac:dyDescent="0.3">
      <c r="A419" s="13">
        <v>2025</v>
      </c>
      <c r="B419" s="15" t="s">
        <v>56</v>
      </c>
    </row>
    <row r="420" spans="1:2" x14ac:dyDescent="0.3">
      <c r="A420" s="12">
        <v>2025</v>
      </c>
      <c r="B420" s="14" t="s">
        <v>78</v>
      </c>
    </row>
    <row r="421" spans="1:2" x14ac:dyDescent="0.3">
      <c r="A421" s="13">
        <v>2025</v>
      </c>
      <c r="B421" s="15" t="s">
        <v>115</v>
      </c>
    </row>
    <row r="422" spans="1:2" x14ac:dyDescent="0.3">
      <c r="A422" s="12">
        <v>2025</v>
      </c>
      <c r="B422" s="14" t="s">
        <v>36</v>
      </c>
    </row>
    <row r="423" spans="1:2" x14ac:dyDescent="0.3">
      <c r="A423" s="13">
        <v>2025</v>
      </c>
      <c r="B423" s="15" t="s">
        <v>93</v>
      </c>
    </row>
    <row r="424" spans="1:2" x14ac:dyDescent="0.3">
      <c r="A424" s="12">
        <v>2025</v>
      </c>
      <c r="B424" s="14" t="s">
        <v>27</v>
      </c>
    </row>
    <row r="425" spans="1:2" x14ac:dyDescent="0.3">
      <c r="A425" s="13">
        <v>2025</v>
      </c>
      <c r="B425" s="15" t="s">
        <v>43</v>
      </c>
    </row>
    <row r="426" spans="1:2" x14ac:dyDescent="0.3">
      <c r="A426" s="12">
        <v>2025</v>
      </c>
      <c r="B426" s="14" t="s">
        <v>68</v>
      </c>
    </row>
    <row r="427" spans="1:2" x14ac:dyDescent="0.3">
      <c r="A427" s="13">
        <v>2025</v>
      </c>
      <c r="B427" s="15" t="s">
        <v>96</v>
      </c>
    </row>
    <row r="428" spans="1:2" x14ac:dyDescent="0.3">
      <c r="A428" s="12">
        <v>2025</v>
      </c>
      <c r="B428" s="14" t="s">
        <v>38</v>
      </c>
    </row>
    <row r="429" spans="1:2" x14ac:dyDescent="0.3">
      <c r="A429" s="13">
        <v>2025</v>
      </c>
      <c r="B429" s="15" t="s">
        <v>46</v>
      </c>
    </row>
    <row r="430" spans="1:2" x14ac:dyDescent="0.3">
      <c r="A430" s="12">
        <v>2025</v>
      </c>
      <c r="B430" s="14" t="s">
        <v>50</v>
      </c>
    </row>
    <row r="431" spans="1:2" x14ac:dyDescent="0.3">
      <c r="A431" s="13">
        <v>2025</v>
      </c>
      <c r="B431" s="15" t="s">
        <v>48</v>
      </c>
    </row>
    <row r="432" spans="1:2" x14ac:dyDescent="0.3">
      <c r="A432" s="12">
        <v>2025</v>
      </c>
      <c r="B432" s="14" t="s">
        <v>76</v>
      </c>
    </row>
    <row r="433" spans="1:2" x14ac:dyDescent="0.3">
      <c r="A433" s="13">
        <v>2025</v>
      </c>
      <c r="B433" s="15" t="s">
        <v>132</v>
      </c>
    </row>
    <row r="434" spans="1:2" x14ac:dyDescent="0.3">
      <c r="A434" s="12">
        <v>2025</v>
      </c>
      <c r="B434" s="14" t="s">
        <v>53</v>
      </c>
    </row>
    <row r="435" spans="1:2" x14ac:dyDescent="0.3">
      <c r="A435" s="13">
        <v>2025</v>
      </c>
      <c r="B435" s="15" t="s">
        <v>87</v>
      </c>
    </row>
    <row r="436" spans="1:2" x14ac:dyDescent="0.3">
      <c r="A436" s="12">
        <v>2025</v>
      </c>
      <c r="B436" s="14" t="s">
        <v>8</v>
      </c>
    </row>
    <row r="437" spans="1:2" x14ac:dyDescent="0.3">
      <c r="A437" s="13">
        <v>2025</v>
      </c>
      <c r="B437" s="15" t="s">
        <v>96</v>
      </c>
    </row>
    <row r="438" spans="1:2" x14ac:dyDescent="0.3">
      <c r="A438" s="12">
        <v>2025</v>
      </c>
      <c r="B438" s="14" t="s">
        <v>64</v>
      </c>
    </row>
    <row r="439" spans="1:2" x14ac:dyDescent="0.3">
      <c r="A439" s="13">
        <v>2025</v>
      </c>
      <c r="B439" s="15" t="s">
        <v>57</v>
      </c>
    </row>
    <row r="440" spans="1:2" x14ac:dyDescent="0.3">
      <c r="A440" s="12">
        <v>2025</v>
      </c>
      <c r="B440" s="14" t="s">
        <v>132</v>
      </c>
    </row>
    <row r="441" spans="1:2" x14ac:dyDescent="0.3">
      <c r="A441" s="13">
        <v>2025</v>
      </c>
      <c r="B441" s="15" t="s">
        <v>8</v>
      </c>
    </row>
    <row r="442" spans="1:2" x14ac:dyDescent="0.3">
      <c r="A442" s="12">
        <v>2025</v>
      </c>
      <c r="B442" s="14" t="s">
        <v>102</v>
      </c>
    </row>
    <row r="443" spans="1:2" x14ac:dyDescent="0.3">
      <c r="A443" s="13">
        <v>2025</v>
      </c>
      <c r="B443" s="15" t="s">
        <v>86</v>
      </c>
    </row>
    <row r="444" spans="1:2" x14ac:dyDescent="0.3">
      <c r="A444" s="12">
        <v>2025</v>
      </c>
      <c r="B444" s="14" t="s">
        <v>21</v>
      </c>
    </row>
    <row r="445" spans="1:2" x14ac:dyDescent="0.3">
      <c r="A445" s="13">
        <v>2025</v>
      </c>
      <c r="B445" s="15" t="s">
        <v>84</v>
      </c>
    </row>
    <row r="446" spans="1:2" x14ac:dyDescent="0.3">
      <c r="A446" s="12">
        <v>2025</v>
      </c>
      <c r="B446" s="14" t="s">
        <v>89</v>
      </c>
    </row>
    <row r="447" spans="1:2" x14ac:dyDescent="0.3">
      <c r="A447" s="13">
        <v>2025</v>
      </c>
      <c r="B447" s="15" t="s">
        <v>46</v>
      </c>
    </row>
    <row r="448" spans="1:2" x14ac:dyDescent="0.3">
      <c r="A448" s="12">
        <v>2025</v>
      </c>
      <c r="B448" s="14" t="s">
        <v>112</v>
      </c>
    </row>
    <row r="449" spans="1:2" x14ac:dyDescent="0.3">
      <c r="A449" s="13">
        <v>2025</v>
      </c>
      <c r="B449" s="15" t="s">
        <v>96</v>
      </c>
    </row>
    <row r="450" spans="1:2" x14ac:dyDescent="0.3">
      <c r="A450" s="12">
        <v>2025</v>
      </c>
      <c r="B450" s="14" t="s">
        <v>50</v>
      </c>
    </row>
    <row r="451" spans="1:2" x14ac:dyDescent="0.3">
      <c r="A451" s="13">
        <v>2025</v>
      </c>
      <c r="B451" s="15" t="s">
        <v>74</v>
      </c>
    </row>
    <row r="452" spans="1:2" x14ac:dyDescent="0.3">
      <c r="A452" s="12">
        <v>2025</v>
      </c>
      <c r="B452" s="14" t="s">
        <v>103</v>
      </c>
    </row>
    <row r="453" spans="1:2" x14ac:dyDescent="0.3">
      <c r="A453" s="13">
        <v>2025</v>
      </c>
      <c r="B453" s="15" t="s">
        <v>33</v>
      </c>
    </row>
    <row r="454" spans="1:2" x14ac:dyDescent="0.3">
      <c r="A454" s="12">
        <v>2025</v>
      </c>
      <c r="B454" s="14" t="s">
        <v>103</v>
      </c>
    </row>
    <row r="455" spans="1:2" x14ac:dyDescent="0.3">
      <c r="A455" s="13">
        <v>2025</v>
      </c>
      <c r="B455" s="15" t="s">
        <v>62</v>
      </c>
    </row>
    <row r="456" spans="1:2" x14ac:dyDescent="0.3">
      <c r="A456" s="12">
        <v>2025</v>
      </c>
      <c r="B456" s="14" t="s">
        <v>106</v>
      </c>
    </row>
    <row r="457" spans="1:2" x14ac:dyDescent="0.3">
      <c r="A457" s="13">
        <v>2025</v>
      </c>
      <c r="B457" s="15" t="s">
        <v>57</v>
      </c>
    </row>
    <row r="458" spans="1:2" x14ac:dyDescent="0.3">
      <c r="A458" s="12">
        <v>2025</v>
      </c>
      <c r="B458" s="14" t="s">
        <v>88</v>
      </c>
    </row>
    <row r="459" spans="1:2" x14ac:dyDescent="0.3">
      <c r="A459" s="13">
        <v>2025</v>
      </c>
      <c r="B459" s="15" t="s">
        <v>107</v>
      </c>
    </row>
    <row r="460" spans="1:2" x14ac:dyDescent="0.3">
      <c r="A460" s="12">
        <v>2025</v>
      </c>
      <c r="B460" s="14" t="s">
        <v>118</v>
      </c>
    </row>
    <row r="461" spans="1:2" x14ac:dyDescent="0.3">
      <c r="A461" s="13">
        <v>2025</v>
      </c>
      <c r="B461" s="15" t="s">
        <v>66</v>
      </c>
    </row>
    <row r="462" spans="1:2" x14ac:dyDescent="0.3">
      <c r="A462" s="12">
        <v>2025</v>
      </c>
      <c r="B462" s="14" t="s">
        <v>99</v>
      </c>
    </row>
    <row r="463" spans="1:2" x14ac:dyDescent="0.3">
      <c r="A463" s="13">
        <v>2025</v>
      </c>
      <c r="B463" s="15" t="s">
        <v>55</v>
      </c>
    </row>
    <row r="464" spans="1:2" x14ac:dyDescent="0.3">
      <c r="A464" s="12">
        <v>2025</v>
      </c>
      <c r="B464" s="14" t="s">
        <v>86</v>
      </c>
    </row>
    <row r="465" spans="1:2" x14ac:dyDescent="0.3">
      <c r="A465" s="13">
        <v>2025</v>
      </c>
      <c r="B465" s="15" t="s">
        <v>52</v>
      </c>
    </row>
    <row r="466" spans="1:2" x14ac:dyDescent="0.3">
      <c r="A466" s="12">
        <v>2025</v>
      </c>
      <c r="B466" s="14" t="s">
        <v>47</v>
      </c>
    </row>
    <row r="467" spans="1:2" x14ac:dyDescent="0.3">
      <c r="A467" s="13">
        <v>2025</v>
      </c>
      <c r="B467" s="15" t="s">
        <v>120</v>
      </c>
    </row>
    <row r="468" spans="1:2" x14ac:dyDescent="0.3">
      <c r="A468" s="12">
        <v>2025</v>
      </c>
      <c r="B468" s="14" t="s">
        <v>102</v>
      </c>
    </row>
    <row r="469" spans="1:2" x14ac:dyDescent="0.3">
      <c r="A469" s="13">
        <v>2025</v>
      </c>
      <c r="B469" s="15" t="s">
        <v>112</v>
      </c>
    </row>
    <row r="470" spans="1:2" x14ac:dyDescent="0.3">
      <c r="A470" s="12">
        <v>2025</v>
      </c>
      <c r="B470" s="14" t="s">
        <v>92</v>
      </c>
    </row>
    <row r="471" spans="1:2" x14ac:dyDescent="0.3">
      <c r="A471" s="13">
        <v>2025</v>
      </c>
      <c r="B471" s="15" t="s">
        <v>106</v>
      </c>
    </row>
    <row r="472" spans="1:2" x14ac:dyDescent="0.3">
      <c r="A472" s="12">
        <v>2025</v>
      </c>
      <c r="B472" s="14" t="s">
        <v>133</v>
      </c>
    </row>
    <row r="473" spans="1:2" x14ac:dyDescent="0.3">
      <c r="A473" s="13">
        <v>2025</v>
      </c>
      <c r="B473" s="15" t="s">
        <v>50</v>
      </c>
    </row>
    <row r="474" spans="1:2" x14ac:dyDescent="0.3">
      <c r="A474" s="12">
        <v>2025</v>
      </c>
      <c r="B474" s="14" t="s">
        <v>132</v>
      </c>
    </row>
    <row r="475" spans="1:2" x14ac:dyDescent="0.3">
      <c r="A475" s="13">
        <v>2025</v>
      </c>
      <c r="B475" s="15" t="s">
        <v>56</v>
      </c>
    </row>
    <row r="476" spans="1:2" x14ac:dyDescent="0.3">
      <c r="A476" s="12">
        <v>2025</v>
      </c>
      <c r="B476" s="14" t="s">
        <v>51</v>
      </c>
    </row>
    <row r="477" spans="1:2" x14ac:dyDescent="0.3">
      <c r="A477" s="13">
        <v>2025</v>
      </c>
      <c r="B477" s="15" t="s">
        <v>38</v>
      </c>
    </row>
    <row r="478" spans="1:2" x14ac:dyDescent="0.3">
      <c r="A478" s="12">
        <v>2025</v>
      </c>
      <c r="B478" s="14" t="s">
        <v>50</v>
      </c>
    </row>
    <row r="479" spans="1:2" x14ac:dyDescent="0.3">
      <c r="A479" s="13">
        <v>2025</v>
      </c>
      <c r="B479" s="15" t="s">
        <v>104</v>
      </c>
    </row>
    <row r="480" spans="1:2" x14ac:dyDescent="0.3">
      <c r="A480" s="12">
        <v>2025</v>
      </c>
      <c r="B480" s="14" t="s">
        <v>68</v>
      </c>
    </row>
    <row r="481" spans="1:2" x14ac:dyDescent="0.3">
      <c r="A481" s="13">
        <v>2025</v>
      </c>
      <c r="B481" s="15" t="s">
        <v>68</v>
      </c>
    </row>
    <row r="482" spans="1:2" x14ac:dyDescent="0.3">
      <c r="A482" s="12">
        <v>2025</v>
      </c>
      <c r="B482" s="14" t="s">
        <v>79</v>
      </c>
    </row>
    <row r="483" spans="1:2" x14ac:dyDescent="0.3">
      <c r="A483" s="13">
        <v>2025</v>
      </c>
      <c r="B483" s="15" t="s">
        <v>47</v>
      </c>
    </row>
    <row r="484" spans="1:2" x14ac:dyDescent="0.3">
      <c r="A484" s="12">
        <v>2025</v>
      </c>
      <c r="B484" s="14" t="s">
        <v>36</v>
      </c>
    </row>
    <row r="485" spans="1:2" x14ac:dyDescent="0.3">
      <c r="A485" s="13">
        <v>2025</v>
      </c>
      <c r="B485" s="15" t="s">
        <v>87</v>
      </c>
    </row>
    <row r="486" spans="1:2" x14ac:dyDescent="0.3">
      <c r="A486" s="12">
        <v>2025</v>
      </c>
      <c r="B486" s="14" t="s">
        <v>88</v>
      </c>
    </row>
    <row r="487" spans="1:2" x14ac:dyDescent="0.3">
      <c r="A487" s="13">
        <v>2025</v>
      </c>
      <c r="B487" s="15" t="s">
        <v>96</v>
      </c>
    </row>
    <row r="488" spans="1:2" x14ac:dyDescent="0.3">
      <c r="A488" s="12">
        <v>2025</v>
      </c>
      <c r="B488" s="14" t="s">
        <v>115</v>
      </c>
    </row>
    <row r="489" spans="1:2" x14ac:dyDescent="0.3">
      <c r="A489" s="13">
        <v>2025</v>
      </c>
      <c r="B489" s="15" t="s">
        <v>85</v>
      </c>
    </row>
    <row r="490" spans="1:2" x14ac:dyDescent="0.3">
      <c r="A490" s="12">
        <v>2025</v>
      </c>
      <c r="B490" s="14" t="s">
        <v>87</v>
      </c>
    </row>
    <row r="491" spans="1:2" x14ac:dyDescent="0.3">
      <c r="A491" s="13">
        <v>2025</v>
      </c>
      <c r="B491" s="15" t="s">
        <v>8</v>
      </c>
    </row>
    <row r="492" spans="1:2" x14ac:dyDescent="0.3">
      <c r="A492" s="12">
        <v>2025</v>
      </c>
      <c r="B492" s="14" t="s">
        <v>47</v>
      </c>
    </row>
    <row r="493" spans="1:2" x14ac:dyDescent="0.3">
      <c r="A493" s="13">
        <v>2026</v>
      </c>
      <c r="B493" s="15" t="s">
        <v>106</v>
      </c>
    </row>
    <row r="494" spans="1:2" x14ac:dyDescent="0.3">
      <c r="A494" s="12">
        <v>2026</v>
      </c>
      <c r="B494" s="14" t="s">
        <v>92</v>
      </c>
    </row>
    <row r="495" spans="1:2" x14ac:dyDescent="0.3">
      <c r="A495" s="13">
        <v>2026</v>
      </c>
      <c r="B495" s="15" t="s">
        <v>82</v>
      </c>
    </row>
    <row r="496" spans="1:2" x14ac:dyDescent="0.3">
      <c r="A496" s="12">
        <v>2026</v>
      </c>
      <c r="B496" s="14" t="s">
        <v>116</v>
      </c>
    </row>
    <row r="497" spans="1:2" x14ac:dyDescent="0.3">
      <c r="A497" s="13">
        <v>2026</v>
      </c>
      <c r="B497" s="15" t="s">
        <v>70</v>
      </c>
    </row>
    <row r="498" spans="1:2" x14ac:dyDescent="0.3">
      <c r="A498" s="12">
        <v>2026</v>
      </c>
      <c r="B498" s="14" t="s">
        <v>129</v>
      </c>
    </row>
    <row r="499" spans="1:2" x14ac:dyDescent="0.3">
      <c r="A499" s="13">
        <v>2026</v>
      </c>
      <c r="B499" s="15" t="s">
        <v>83</v>
      </c>
    </row>
    <row r="500" spans="1:2" x14ac:dyDescent="0.3">
      <c r="A500" s="12">
        <v>2026</v>
      </c>
      <c r="B500" s="14" t="s">
        <v>87</v>
      </c>
    </row>
    <row r="501" spans="1:2" x14ac:dyDescent="0.3">
      <c r="A501" s="18">
        <v>2026</v>
      </c>
      <c r="B501" s="19" t="s">
        <v>85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Monthly sales</vt:lpstr>
      <vt:lpstr>Top 5 Customers</vt:lpstr>
      <vt:lpstr>Chart1</vt:lpstr>
      <vt:lpstr>Profit Gained</vt:lpstr>
      <vt:lpstr>state map</vt:lpstr>
      <vt:lpstr>Sheet1</vt:lpstr>
      <vt:lpstr>Sheet12</vt:lpstr>
      <vt:lpstr>Dashboard</vt:lpstr>
      <vt:lpstr>Sheet11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tajpuria group</dc:creator>
  <cp:lastModifiedBy>tajpuria group</cp:lastModifiedBy>
  <dcterms:created xsi:type="dcterms:W3CDTF">2026-01-05T08:53:41Z</dcterms:created>
  <dcterms:modified xsi:type="dcterms:W3CDTF">2026-01-05T12:53:48Z</dcterms:modified>
</cp:coreProperties>
</file>